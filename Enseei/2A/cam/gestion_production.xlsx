
<file path=[Content_Types].xml><?xml version="1.0" encoding="utf-8"?>
<Types xmlns="http://schemas.openxmlformats.org/package/2006/content-types">
  <Default Extension="bin" ContentType="application/vnd.openxmlformats-officedocument.spreadsheetml.printerSettings"/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sheets/sheet3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xl/drawings/drawing1.xml" ContentType="application/vnd.openxmlformats-officedocument.drawing+xml"/>
  <Override PartName="/xl/drawings/drawing2.xml" ContentType="application/vnd.openxmlformats-officedocument.drawing+xml"/>
  <Override PartName="/xl/drawings/drawing3.xml" ContentType="application/vnd.openxmlformats-officedocument.drawing+xml"/>
  <Override PartName="/xl/calcChain.xml" ContentType="application/vnd.openxmlformats-officedocument.spreadsheetml.calcChain+xml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fileVersion appName="xl" lastEdited="7" lowestEdited="4" rupBuild="22624"/>
  <workbookPr defaultThemeVersion="124226"/>
  <mc:AlternateContent xmlns:mc="http://schemas.openxmlformats.org/markup-compatibility/2006">
    <mc:Choice Requires="x15">
      <x15ac:absPath xmlns:x15ac="http://schemas.microsoft.com/office/spreadsheetml/2010/11/ac" url="C:\Users\mina\Desktop\IAE\S2\Stage\Arkhé\Kalypso\PPT\Eleves\Workshop3\"/>
    </mc:Choice>
  </mc:AlternateContent>
  <xr:revisionPtr revIDLastSave="0" documentId="8_{DA6ED9E9-A214-4955-985C-D27D392BB798}" xr6:coauthVersionLast="45" xr6:coauthVersionMax="45" xr10:uidLastSave="{00000000-0000-0000-0000-000000000000}"/>
  <bookViews>
    <workbookView xWindow="-120" yWindow="-120" windowWidth="20730" windowHeight="11160" activeTab="2" xr2:uid="{00000000-000D-0000-FFFF-FFFF00000000}"/>
  </bookViews>
  <sheets>
    <sheet name="Juste à temps" sheetId="1" r:id="rId1"/>
    <sheet name="Parc existant au maxi" sheetId="2" r:id="rId2"/>
    <sheet name="Investissement au maxi" sheetId="3" r:id="rId3"/>
  </sheets>
  <calcPr calcId="191029"/>
  <extLst>
    <ext xmlns:xcalcf="http://schemas.microsoft.com/office/spreadsheetml/2018/calcfeatures" uri="{B58B0392-4F1F-4190-BB64-5DF3571DCE5F}">
      <xcalcf:calcFeatures>
        <xcalcf:feature name="microsoft.com:RD"/>
        <xcalcf:feature name="microsoft.com:Single"/>
        <xcalcf:feature name="microsoft.com:FV"/>
        <xcalcf:feature name="microsoft.com:CNMTM"/>
      </xcalcf:calcFeatures>
    </ext>
  </extLst>
</workbook>
</file>

<file path=xl/calcChain.xml><?xml version="1.0" encoding="utf-8"?>
<calcChain xmlns="http://schemas.openxmlformats.org/spreadsheetml/2006/main">
  <c r="C20" i="3" l="1"/>
  <c r="C19" i="3"/>
  <c r="C18" i="3"/>
  <c r="C20" i="2"/>
  <c r="C19" i="2"/>
  <c r="C18" i="2"/>
  <c r="D14" i="2"/>
  <c r="C22" i="2"/>
  <c r="E15" i="3" l="1"/>
  <c r="F15" i="3" s="1"/>
  <c r="G15" i="3" s="1"/>
  <c r="H15" i="3" s="1"/>
  <c r="I15" i="3" s="1"/>
  <c r="J15" i="3" s="1"/>
  <c r="K15" i="3" s="1"/>
  <c r="L15" i="3" s="1"/>
  <c r="M15" i="3" s="1"/>
  <c r="N15" i="3" s="1"/>
  <c r="D16" i="3"/>
  <c r="E16" i="3" s="1"/>
  <c r="F16" i="3" s="1"/>
  <c r="G16" i="3" s="1"/>
  <c r="H16" i="3" s="1"/>
  <c r="I16" i="3" s="1"/>
  <c r="J16" i="3" s="1"/>
  <c r="K16" i="3" s="1"/>
  <c r="L16" i="3" s="1"/>
  <c r="M16" i="3" s="1"/>
  <c r="N16" i="3" s="1"/>
  <c r="D15" i="3"/>
  <c r="D19" i="3" s="1"/>
  <c r="D14" i="3"/>
  <c r="E14" i="3" s="1"/>
  <c r="F14" i="3" s="1"/>
  <c r="G14" i="3" s="1"/>
  <c r="H14" i="3" s="1"/>
  <c r="I14" i="3" s="1"/>
  <c r="J14" i="3" s="1"/>
  <c r="K14" i="3" s="1"/>
  <c r="L14" i="3" s="1"/>
  <c r="M14" i="3" s="1"/>
  <c r="N14" i="3" s="1"/>
  <c r="C23" i="3"/>
  <c r="C22" i="3"/>
  <c r="O12" i="3"/>
  <c r="O11" i="3"/>
  <c r="O10" i="3"/>
  <c r="E14" i="2"/>
  <c r="D16" i="2"/>
  <c r="E16" i="2" s="1"/>
  <c r="F16" i="2" s="1"/>
  <c r="G16" i="2" s="1"/>
  <c r="H16" i="2" s="1"/>
  <c r="I16" i="2" s="1"/>
  <c r="J16" i="2" s="1"/>
  <c r="K16" i="2" s="1"/>
  <c r="L16" i="2" s="1"/>
  <c r="M16" i="2" s="1"/>
  <c r="N16" i="2" s="1"/>
  <c r="D15" i="2"/>
  <c r="D23" i="2" s="1"/>
  <c r="D19" i="2"/>
  <c r="D18" i="2"/>
  <c r="O11" i="2"/>
  <c r="O12" i="2"/>
  <c r="O10" i="2"/>
  <c r="C23" i="2"/>
  <c r="D24" i="1"/>
  <c r="E24" i="1" s="1"/>
  <c r="F24" i="1" s="1"/>
  <c r="G24" i="1" s="1"/>
  <c r="H24" i="1" s="1"/>
  <c r="I24" i="1" s="1"/>
  <c r="J24" i="1" s="1"/>
  <c r="K24" i="1" s="1"/>
  <c r="L24" i="1" s="1"/>
  <c r="M24" i="1" s="1"/>
  <c r="N24" i="1" s="1"/>
  <c r="D23" i="1"/>
  <c r="E23" i="1" s="1"/>
  <c r="F23" i="1" s="1"/>
  <c r="G23" i="1" s="1"/>
  <c r="H23" i="1" s="1"/>
  <c r="I23" i="1" s="1"/>
  <c r="J23" i="1" s="1"/>
  <c r="K23" i="1" s="1"/>
  <c r="L23" i="1" s="1"/>
  <c r="M23" i="1" s="1"/>
  <c r="N23" i="1" s="1"/>
  <c r="M18" i="1"/>
  <c r="M20" i="1" s="1"/>
  <c r="D15" i="1"/>
  <c r="E15" i="1"/>
  <c r="F15" i="1"/>
  <c r="G15" i="1"/>
  <c r="H15" i="1"/>
  <c r="I15" i="1"/>
  <c r="I19" i="1" s="1"/>
  <c r="I21" i="1" s="1"/>
  <c r="J15" i="1"/>
  <c r="K15" i="1"/>
  <c r="L15" i="1"/>
  <c r="N15" i="1"/>
  <c r="D16" i="1"/>
  <c r="E16" i="1"/>
  <c r="F16" i="1"/>
  <c r="G16" i="1"/>
  <c r="H16" i="1"/>
  <c r="I16" i="1"/>
  <c r="J16" i="1"/>
  <c r="K16" i="1"/>
  <c r="L16" i="1"/>
  <c r="M16" i="1"/>
  <c r="N16" i="1"/>
  <c r="D14" i="1"/>
  <c r="E14" i="1"/>
  <c r="E19" i="1" s="1"/>
  <c r="E21" i="1" s="1"/>
  <c r="F14" i="1"/>
  <c r="F19" i="1" s="1"/>
  <c r="F21" i="1" s="1"/>
  <c r="G14" i="1"/>
  <c r="G19" i="1" s="1"/>
  <c r="G21" i="1" s="1"/>
  <c r="H14" i="1"/>
  <c r="H19" i="1" s="1"/>
  <c r="H21" i="1" s="1"/>
  <c r="I14" i="1"/>
  <c r="I18" i="1" s="1"/>
  <c r="I20" i="1" s="1"/>
  <c r="J14" i="1"/>
  <c r="K14" i="1"/>
  <c r="L14" i="1"/>
  <c r="M14" i="1"/>
  <c r="M19" i="1" s="1"/>
  <c r="M21" i="1" s="1"/>
  <c r="N14" i="1"/>
  <c r="C19" i="1"/>
  <c r="C21" i="1" s="1"/>
  <c r="N19" i="1" l="1"/>
  <c r="N21" i="1" s="1"/>
  <c r="L19" i="1"/>
  <c r="L21" i="1" s="1"/>
  <c r="D19" i="1"/>
  <c r="D21" i="1" s="1"/>
  <c r="E18" i="1"/>
  <c r="E20" i="1" s="1"/>
  <c r="K19" i="1"/>
  <c r="K21" i="1" s="1"/>
  <c r="J19" i="1"/>
  <c r="J21" i="1" s="1"/>
  <c r="D22" i="2"/>
  <c r="D20" i="2"/>
  <c r="E20" i="2" s="1"/>
  <c r="F20" i="2" s="1"/>
  <c r="G20" i="2" s="1"/>
  <c r="H20" i="2" s="1"/>
  <c r="I20" i="2" s="1"/>
  <c r="J20" i="2" s="1"/>
  <c r="K20" i="2" s="1"/>
  <c r="L20" i="2" s="1"/>
  <c r="M20" i="2" s="1"/>
  <c r="N20" i="2" s="1"/>
  <c r="E15" i="2"/>
  <c r="E18" i="2"/>
  <c r="N18" i="1"/>
  <c r="N20" i="1" s="1"/>
  <c r="J18" i="1"/>
  <c r="J20" i="1" s="1"/>
  <c r="F18" i="1"/>
  <c r="F20" i="1" s="1"/>
  <c r="C18" i="1"/>
  <c r="C20" i="1" s="1"/>
  <c r="K18" i="1"/>
  <c r="K20" i="1" s="1"/>
  <c r="G18" i="1"/>
  <c r="G20" i="1" s="1"/>
  <c r="L18" i="1"/>
  <c r="L20" i="1" s="1"/>
  <c r="H18" i="1"/>
  <c r="H20" i="1" s="1"/>
  <c r="D18" i="1"/>
  <c r="D20" i="1" s="1"/>
  <c r="F14" i="2"/>
  <c r="D20" i="3"/>
  <c r="D18" i="3"/>
  <c r="E18" i="3" s="1"/>
  <c r="D22" i="3"/>
  <c r="D23" i="3"/>
  <c r="F15" i="2" l="1"/>
  <c r="G15" i="2" s="1"/>
  <c r="H15" i="2" s="1"/>
  <c r="I15" i="2" s="1"/>
  <c r="J15" i="2" s="1"/>
  <c r="K15" i="2" s="1"/>
  <c r="L15" i="2" s="1"/>
  <c r="M15" i="2" s="1"/>
  <c r="N15" i="2" s="1"/>
  <c r="E23" i="2"/>
  <c r="E22" i="2"/>
  <c r="E19" i="2"/>
  <c r="G14" i="2"/>
  <c r="F18" i="2"/>
  <c r="G18" i="2" s="1"/>
  <c r="E19" i="3"/>
  <c r="F18" i="3"/>
  <c r="E20" i="3"/>
  <c r="E23" i="3"/>
  <c r="E22" i="3"/>
  <c r="F22" i="2" l="1"/>
  <c r="F23" i="2"/>
  <c r="F19" i="2"/>
  <c r="G19" i="2" s="1"/>
  <c r="H19" i="2" s="1"/>
  <c r="I19" i="2" s="1"/>
  <c r="J19" i="2" s="1"/>
  <c r="K19" i="2" s="1"/>
  <c r="L19" i="2" s="1"/>
  <c r="M19" i="2" s="1"/>
  <c r="N19" i="2" s="1"/>
  <c r="H14" i="2"/>
  <c r="H18" i="2" s="1"/>
  <c r="G22" i="2"/>
  <c r="G23" i="2"/>
  <c r="F20" i="3"/>
  <c r="G22" i="3"/>
  <c r="F19" i="3"/>
  <c r="F23" i="3"/>
  <c r="F22" i="3"/>
  <c r="G23" i="3"/>
  <c r="G18" i="3"/>
  <c r="H22" i="2" l="1"/>
  <c r="H23" i="2"/>
  <c r="I14" i="2"/>
  <c r="I18" i="2" s="1"/>
  <c r="G20" i="3"/>
  <c r="H18" i="3"/>
  <c r="G19" i="3"/>
  <c r="I23" i="2" l="1"/>
  <c r="I22" i="2"/>
  <c r="J14" i="2"/>
  <c r="H19" i="3"/>
  <c r="H23" i="3"/>
  <c r="H22" i="3"/>
  <c r="H20" i="3"/>
  <c r="I23" i="3"/>
  <c r="I18" i="3"/>
  <c r="J22" i="2" l="1"/>
  <c r="K14" i="2"/>
  <c r="J23" i="2"/>
  <c r="J18" i="2"/>
  <c r="I22" i="3"/>
  <c r="I20" i="3"/>
  <c r="J23" i="3"/>
  <c r="I19" i="3"/>
  <c r="J18" i="3"/>
  <c r="K18" i="2" l="1"/>
  <c r="L14" i="2"/>
  <c r="K22" i="2"/>
  <c r="K23" i="2"/>
  <c r="J20" i="3"/>
  <c r="J19" i="3"/>
  <c r="J22" i="3"/>
  <c r="K18" i="3"/>
  <c r="L18" i="2" l="1"/>
  <c r="L22" i="2"/>
  <c r="L23" i="2"/>
  <c r="M14" i="2"/>
  <c r="K20" i="3"/>
  <c r="L23" i="3"/>
  <c r="K19" i="3"/>
  <c r="K22" i="3"/>
  <c r="L18" i="3"/>
  <c r="K23" i="3"/>
  <c r="N14" i="2" l="1"/>
  <c r="M23" i="2"/>
  <c r="M22" i="2"/>
  <c r="M18" i="2"/>
  <c r="M18" i="3"/>
  <c r="L20" i="3"/>
  <c r="L19" i="3"/>
  <c r="L22" i="3"/>
  <c r="N18" i="2" l="1"/>
  <c r="N22" i="2"/>
  <c r="N23" i="2"/>
  <c r="N18" i="3"/>
  <c r="M20" i="3"/>
  <c r="M19" i="3"/>
  <c r="M23" i="3"/>
  <c r="M22" i="3"/>
  <c r="N20" i="3" l="1"/>
  <c r="N23" i="3"/>
  <c r="N19" i="3"/>
  <c r="N22" i="3"/>
</calcChain>
</file>

<file path=xl/sharedStrings.xml><?xml version="1.0" encoding="utf-8"?>
<sst xmlns="http://schemas.openxmlformats.org/spreadsheetml/2006/main" count="95" uniqueCount="33">
  <si>
    <t>Prévision des ventes</t>
  </si>
  <si>
    <t>Mois</t>
  </si>
  <si>
    <t xml:space="preserve">Production </t>
  </si>
  <si>
    <t>Consommation HTM</t>
  </si>
  <si>
    <t>janvier</t>
  </si>
  <si>
    <t>février</t>
  </si>
  <si>
    <t>mars</t>
  </si>
  <si>
    <t>avril</t>
  </si>
  <si>
    <t>mai</t>
  </si>
  <si>
    <t>juin</t>
  </si>
  <si>
    <t>juillet</t>
  </si>
  <si>
    <t>août</t>
  </si>
  <si>
    <t>septembre</t>
  </si>
  <si>
    <t>octobre</t>
  </si>
  <si>
    <t>novembre</t>
  </si>
  <si>
    <t>décembre</t>
  </si>
  <si>
    <t>Production juste à temps</t>
  </si>
  <si>
    <t>Moulage</t>
  </si>
  <si>
    <t>Finition</t>
  </si>
  <si>
    <t>moulage</t>
  </si>
  <si>
    <t xml:space="preserve">finition </t>
  </si>
  <si>
    <t>Besoins parc moulage</t>
  </si>
  <si>
    <t>Besoins parc finition</t>
  </si>
  <si>
    <t>Disponible parc moulage</t>
  </si>
  <si>
    <t>moyennne</t>
  </si>
  <si>
    <t>Production utilisant le parc existant au maximum de sa capacité</t>
  </si>
  <si>
    <t>Production utilisant le parc au maximum après investissement</t>
  </si>
  <si>
    <t>Moulage (saturé)</t>
  </si>
  <si>
    <t>Disponible parc finition</t>
  </si>
  <si>
    <t>Stan8</t>
  </si>
  <si>
    <t>Prom5.5</t>
  </si>
  <si>
    <t>Pech4</t>
  </si>
  <si>
    <t>Stock fin de mois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</si>
</sst>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fonts count="8" x14ac:knownFonts="1">
    <font>
      <sz val="11"/>
      <color theme="1"/>
      <name val="Calibri"/>
      <family val="2"/>
      <scheme val="minor"/>
    </font>
    <font>
      <b/>
      <sz val="11"/>
      <color theme="1"/>
      <name val="Calibri"/>
      <family val="2"/>
      <scheme val="minor"/>
    </font>
    <font>
      <sz val="18"/>
      <color theme="1"/>
      <name val="Calibri"/>
      <family val="2"/>
      <scheme val="minor"/>
    </font>
    <font>
      <sz val="6"/>
      <color theme="1"/>
      <name val="Calibri"/>
      <family val="2"/>
      <scheme val="minor"/>
    </font>
    <font>
      <b/>
      <sz val="16"/>
      <color theme="1"/>
      <name val="Calibri"/>
      <family val="2"/>
      <scheme val="minor"/>
    </font>
    <font>
      <b/>
      <sz val="14"/>
      <color theme="1"/>
      <name val="Calibri"/>
      <family val="2"/>
      <scheme val="minor"/>
    </font>
    <font>
      <sz val="16"/>
      <color theme="1"/>
      <name val="Calibri"/>
      <family val="2"/>
      <scheme val="minor"/>
    </font>
    <font>
      <sz val="14"/>
      <color theme="1"/>
      <name val="Calibri"/>
      <family val="2"/>
      <scheme val="minor"/>
    </font>
  </fonts>
  <fills count="3">
    <fill>
      <patternFill patternType="none"/>
    </fill>
    <fill>
      <patternFill patternType="gray125"/>
    </fill>
    <fill>
      <patternFill patternType="solid">
        <fgColor theme="8" tint="0.79998168889431442"/>
        <bgColor indexed="64"/>
      </patternFill>
    </fill>
  </fills>
  <borders count="13">
    <border>
      <left/>
      <right/>
      <top/>
      <bottom/>
      <diagonal/>
    </border>
    <border>
      <left style="double">
        <color auto="1"/>
      </left>
      <right style="thin">
        <color auto="1"/>
      </right>
      <top style="double">
        <color auto="1"/>
      </top>
      <bottom style="double">
        <color auto="1"/>
      </bottom>
      <diagonal/>
    </border>
    <border>
      <left style="thin">
        <color auto="1"/>
      </left>
      <right style="thin">
        <color auto="1"/>
      </right>
      <top style="double">
        <color auto="1"/>
      </top>
      <bottom style="double">
        <color auto="1"/>
      </bottom>
      <diagonal/>
    </border>
    <border>
      <left style="thin">
        <color auto="1"/>
      </left>
      <right style="double">
        <color auto="1"/>
      </right>
      <top style="double">
        <color auto="1"/>
      </top>
      <bottom style="double">
        <color auto="1"/>
      </bottom>
      <diagonal/>
    </border>
    <border>
      <left style="double">
        <color auto="1"/>
      </left>
      <right style="thin">
        <color auto="1"/>
      </right>
      <top style="double">
        <color auto="1"/>
      </top>
      <bottom/>
      <diagonal/>
    </border>
    <border>
      <left style="thin">
        <color auto="1"/>
      </left>
      <right style="thin">
        <color auto="1"/>
      </right>
      <top style="double">
        <color auto="1"/>
      </top>
      <bottom/>
      <diagonal/>
    </border>
    <border>
      <left style="thin">
        <color auto="1"/>
      </left>
      <right style="double">
        <color auto="1"/>
      </right>
      <top style="double">
        <color auto="1"/>
      </top>
      <bottom/>
      <diagonal/>
    </border>
    <border>
      <left style="double">
        <color auto="1"/>
      </left>
      <right style="thin">
        <color auto="1"/>
      </right>
      <top/>
      <bottom/>
      <diagonal/>
    </border>
    <border>
      <left style="thin">
        <color auto="1"/>
      </left>
      <right style="thin">
        <color auto="1"/>
      </right>
      <top/>
      <bottom/>
      <diagonal/>
    </border>
    <border>
      <left style="thin">
        <color auto="1"/>
      </left>
      <right style="double">
        <color auto="1"/>
      </right>
      <top/>
      <bottom/>
      <diagonal/>
    </border>
    <border>
      <left style="double">
        <color auto="1"/>
      </left>
      <right style="thin">
        <color auto="1"/>
      </right>
      <top/>
      <bottom style="double">
        <color auto="1"/>
      </bottom>
      <diagonal/>
    </border>
    <border>
      <left style="thin">
        <color auto="1"/>
      </left>
      <right style="thin">
        <color auto="1"/>
      </right>
      <top/>
      <bottom style="double">
        <color auto="1"/>
      </bottom>
      <diagonal/>
    </border>
    <border>
      <left style="thin">
        <color auto="1"/>
      </left>
      <right style="double">
        <color auto="1"/>
      </right>
      <top/>
      <bottom style="double">
        <color auto="1"/>
      </bottom>
      <diagonal/>
    </border>
  </borders>
  <cellStyleXfs count="1">
    <xf numFmtId="0" fontId="0" fillId="0" borderId="0"/>
  </cellStyleXfs>
  <cellXfs count="47">
    <xf numFmtId="0" fontId="0" fillId="0" borderId="0" xfId="0"/>
    <xf numFmtId="0" fontId="1" fillId="0" borderId="0" xfId="0" applyFont="1"/>
    <xf numFmtId="0" fontId="0" fillId="0" borderId="0" xfId="0" applyAlignment="1">
      <alignment horizontal="center"/>
    </xf>
    <xf numFmtId="0" fontId="3" fillId="0" borderId="0" xfId="0" applyFont="1"/>
    <xf numFmtId="0" fontId="3" fillId="0" borderId="0" xfId="0" applyFont="1" applyAlignment="1">
      <alignment horizontal="center"/>
    </xf>
    <xf numFmtId="2" fontId="3" fillId="0" borderId="0" xfId="0" applyNumberFormat="1" applyFont="1" applyAlignment="1">
      <alignment horizontal="center"/>
    </xf>
    <xf numFmtId="0" fontId="1" fillId="0" borderId="7" xfId="0" applyFont="1" applyBorder="1"/>
    <xf numFmtId="0" fontId="1" fillId="0" borderId="10" xfId="0" applyFont="1" applyBorder="1"/>
    <xf numFmtId="0" fontId="4" fillId="0" borderId="1" xfId="0" applyFont="1" applyBorder="1"/>
    <xf numFmtId="0" fontId="5" fillId="0" borderId="2" xfId="0" applyFont="1" applyBorder="1" applyAlignment="1">
      <alignment horizontal="center"/>
    </xf>
    <xf numFmtId="0" fontId="5" fillId="0" borderId="3" xfId="0" applyFont="1" applyBorder="1" applyAlignment="1">
      <alignment horizontal="center"/>
    </xf>
    <xf numFmtId="0" fontId="4" fillId="2" borderId="4" xfId="0" applyFont="1" applyFill="1" applyBorder="1"/>
    <xf numFmtId="0" fontId="4" fillId="2" borderId="7" xfId="0" applyFont="1" applyFill="1" applyBorder="1"/>
    <xf numFmtId="0" fontId="1" fillId="0" borderId="1" xfId="0" applyFont="1" applyBorder="1"/>
    <xf numFmtId="0" fontId="1" fillId="0" borderId="2" xfId="0" applyFont="1" applyBorder="1" applyAlignment="1">
      <alignment horizontal="center"/>
    </xf>
    <xf numFmtId="0" fontId="1" fillId="0" borderId="3" xfId="0" applyFont="1" applyBorder="1" applyAlignment="1">
      <alignment horizontal="center"/>
    </xf>
    <xf numFmtId="0" fontId="1" fillId="2" borderId="4" xfId="0" applyFont="1" applyFill="1" applyBorder="1"/>
    <xf numFmtId="0" fontId="1" fillId="2" borderId="7" xfId="0" applyFont="1" applyFill="1" applyBorder="1"/>
    <xf numFmtId="0" fontId="0" fillId="2" borderId="5" xfId="0" applyFont="1" applyFill="1" applyBorder="1"/>
    <xf numFmtId="0" fontId="0" fillId="2" borderId="6" xfId="0" applyFont="1" applyFill="1" applyBorder="1"/>
    <xf numFmtId="0" fontId="0" fillId="0" borderId="7" xfId="0" applyFont="1" applyBorder="1"/>
    <xf numFmtId="0" fontId="0" fillId="0" borderId="8" xfId="0" applyFont="1" applyBorder="1" applyAlignment="1" applyProtection="1">
      <alignment horizontal="center"/>
      <protection locked="0"/>
    </xf>
    <xf numFmtId="0" fontId="0" fillId="0" borderId="9" xfId="0" applyFont="1" applyBorder="1" applyAlignment="1" applyProtection="1">
      <alignment horizontal="center"/>
      <protection locked="0"/>
    </xf>
    <xf numFmtId="0" fontId="0" fillId="2" borderId="8" xfId="0" applyFont="1" applyFill="1" applyBorder="1"/>
    <xf numFmtId="0" fontId="0" fillId="2" borderId="9" xfId="0" applyFont="1" applyFill="1" applyBorder="1"/>
    <xf numFmtId="0" fontId="0" fillId="0" borderId="8" xfId="0" applyFont="1" applyBorder="1" applyAlignment="1">
      <alignment horizontal="center"/>
    </xf>
    <xf numFmtId="0" fontId="0" fillId="0" borderId="9" xfId="0" applyFont="1" applyBorder="1" applyAlignment="1">
      <alignment horizontal="center"/>
    </xf>
    <xf numFmtId="0" fontId="0" fillId="0" borderId="10" xfId="0" applyFont="1" applyBorder="1"/>
    <xf numFmtId="0" fontId="0" fillId="0" borderId="11" xfId="0" applyFont="1" applyBorder="1" applyAlignment="1">
      <alignment horizontal="center"/>
    </xf>
    <xf numFmtId="0" fontId="0" fillId="0" borderId="12" xfId="0" applyFont="1" applyBorder="1" applyAlignment="1">
      <alignment horizontal="center"/>
    </xf>
    <xf numFmtId="0" fontId="0" fillId="2" borderId="8" xfId="0" applyFont="1" applyFill="1" applyBorder="1" applyAlignment="1">
      <alignment horizontal="center"/>
    </xf>
    <xf numFmtId="0" fontId="0" fillId="2" borderId="9" xfId="0" applyFont="1" applyFill="1" applyBorder="1" applyAlignment="1">
      <alignment horizontal="center"/>
    </xf>
    <xf numFmtId="0" fontId="7" fillId="2" borderId="5" xfId="0" applyFont="1" applyFill="1" applyBorder="1"/>
    <xf numFmtId="0" fontId="7" fillId="2" borderId="6" xfId="0" applyFont="1" applyFill="1" applyBorder="1"/>
    <xf numFmtId="0" fontId="6" fillId="0" borderId="7" xfId="0" applyFont="1" applyBorder="1"/>
    <xf numFmtId="0" fontId="7" fillId="0" borderId="8" xfId="0" applyFont="1" applyBorder="1" applyAlignment="1" applyProtection="1">
      <alignment horizontal="center"/>
      <protection locked="0"/>
    </xf>
    <xf numFmtId="0" fontId="7" fillId="0" borderId="9" xfId="0" applyFont="1" applyBorder="1" applyAlignment="1" applyProtection="1">
      <alignment horizontal="center"/>
      <protection locked="0"/>
    </xf>
    <xf numFmtId="0" fontId="7" fillId="2" borderId="8" xfId="0" applyFont="1" applyFill="1" applyBorder="1"/>
    <xf numFmtId="0" fontId="7" fillId="2" borderId="9" xfId="0" applyFont="1" applyFill="1" applyBorder="1"/>
    <xf numFmtId="0" fontId="7" fillId="0" borderId="8" xfId="0" applyFont="1" applyBorder="1" applyAlignment="1">
      <alignment horizontal="center"/>
    </xf>
    <xf numFmtId="0" fontId="7" fillId="0" borderId="9" xfId="0" applyFont="1" applyBorder="1" applyAlignment="1">
      <alignment horizontal="center"/>
    </xf>
    <xf numFmtId="0" fontId="7" fillId="2" borderId="8" xfId="0" applyFont="1" applyFill="1" applyBorder="1" applyAlignment="1">
      <alignment horizontal="center"/>
    </xf>
    <xf numFmtId="0" fontId="7" fillId="2" borderId="9" xfId="0" applyFont="1" applyFill="1" applyBorder="1" applyAlignment="1">
      <alignment horizontal="center"/>
    </xf>
    <xf numFmtId="0" fontId="6" fillId="0" borderId="10" xfId="0" applyFont="1" applyBorder="1"/>
    <xf numFmtId="0" fontId="7" fillId="0" borderId="11" xfId="0" applyFont="1" applyBorder="1" applyAlignment="1">
      <alignment horizontal="center"/>
    </xf>
    <xf numFmtId="0" fontId="7" fillId="0" borderId="12" xfId="0" applyFont="1" applyBorder="1" applyAlignment="1">
      <alignment horizontal="center"/>
    </xf>
    <xf numFmtId="0" fontId="2" fillId="0" borderId="0" xfId="0" applyFont="1" applyAlignment="1">
      <alignment horizontal="center"/>
    </xf>
  </cellXfs>
  <cellStyles count="1">
    <cellStyle name="Normal" xfId="0" builtinId="0"/>
  </cellStyles>
  <dxfs count="10">
    <dxf>
      <font>
        <condense val="0"/>
        <extend val="0"/>
        <color rgb="FF9C0006"/>
      </font>
      <fill>
        <patternFill>
          <bgColor rgb="FFFFC7CE"/>
        </patternFill>
      </fill>
    </dxf>
    <dxf>
      <font>
        <condense val="0"/>
        <extend val="0"/>
        <color rgb="FF9C0006"/>
      </font>
      <fill>
        <patternFill>
          <bgColor rgb="FFFFC7CE"/>
        </patternFill>
      </fill>
    </dxf>
    <dxf>
      <font>
        <condense val="0"/>
        <extend val="0"/>
        <color rgb="FF9C0006"/>
      </font>
      <fill>
        <patternFill>
          <bgColor rgb="FFFFC7CE"/>
        </patternFill>
      </fill>
    </dxf>
    <dxf>
      <font>
        <condense val="0"/>
        <extend val="0"/>
        <color rgb="FF9C0006"/>
      </font>
      <fill>
        <patternFill>
          <bgColor rgb="FFFFC7CE"/>
        </patternFill>
      </fill>
    </dxf>
    <dxf>
      <font>
        <condense val="0"/>
        <extend val="0"/>
        <color rgb="FF9C0006"/>
      </font>
      <fill>
        <patternFill>
          <bgColor rgb="FFFFC7CE"/>
        </patternFill>
      </fill>
    </dxf>
    <dxf>
      <font>
        <condense val="0"/>
        <extend val="0"/>
        <color rgb="FF9C0006"/>
      </font>
      <fill>
        <patternFill>
          <bgColor rgb="FFFFC7CE"/>
        </patternFill>
      </fill>
    </dxf>
    <dxf>
      <font>
        <condense val="0"/>
        <extend val="0"/>
        <color rgb="FF9C0006"/>
      </font>
      <fill>
        <patternFill>
          <bgColor rgb="FFFFC7CE"/>
        </patternFill>
      </fill>
    </dxf>
    <dxf>
      <font>
        <condense val="0"/>
        <extend val="0"/>
        <color rgb="FF9C0006"/>
      </font>
      <fill>
        <patternFill>
          <bgColor rgb="FFFFC7CE"/>
        </patternFill>
      </fill>
    </dxf>
    <dxf>
      <font>
        <condense val="0"/>
        <extend val="0"/>
        <color rgb="FF9C0006"/>
      </font>
      <fill>
        <patternFill>
          <bgColor rgb="FFFFC7CE"/>
        </patternFill>
      </fill>
    </dxf>
    <dxf>
      <font>
        <condense val="0"/>
        <extend val="0"/>
        <color rgb="FF9C0006"/>
      </font>
      <fill>
        <patternFill>
          <bgColor rgb="FFFFC7CE"/>
        </patternFill>
      </fill>
    </dxf>
  </dxfs>
  <tableStyles count="0" defaultTableStyle="TableStyleMedium9" defaultPivotStyle="PivotStyleLight16"/>
  <colors>
    <mruColors>
      <color rgb="FFF8A6B8"/>
    </mruColors>
  </colors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3" Type="http://schemas.openxmlformats.org/officeDocument/2006/relationships/worksheet" Target="worksheets/sheet3.xml"/><Relationship Id="rId7" Type="http://schemas.openxmlformats.org/officeDocument/2006/relationships/calcChain" Target="calcChain.xml"/><Relationship Id="rId2" Type="http://schemas.openxmlformats.org/officeDocument/2006/relationships/worksheet" Target="worksheets/sheet2.xml"/><Relationship Id="rId1" Type="http://schemas.openxmlformats.org/officeDocument/2006/relationships/worksheet" Target="worksheets/sheet1.xml"/><Relationship Id="rId6" Type="http://schemas.openxmlformats.org/officeDocument/2006/relationships/sharedStrings" Target="sharedStrings.xml"/><Relationship Id="rId5" Type="http://schemas.openxmlformats.org/officeDocument/2006/relationships/styles" Target="styles.xml"/><Relationship Id="rId4" Type="http://schemas.openxmlformats.org/officeDocument/2006/relationships/theme" Target="theme/theme1.xml"/></Relationships>
</file>

<file path=xl/drawings/drawing1.xml><?xml version="1.0" encoding="utf-8"?>
<xdr:wsDr xmlns:xdr="http://schemas.openxmlformats.org/drawingml/2006/spreadsheetDrawing" xmlns:a="http://schemas.openxmlformats.org/drawingml/2006/main">
  <xdr:twoCellAnchor>
    <xdr:from>
      <xdr:col>1</xdr:col>
      <xdr:colOff>28575</xdr:colOff>
      <xdr:row>1</xdr:row>
      <xdr:rowOff>66676</xdr:rowOff>
    </xdr:from>
    <xdr:to>
      <xdr:col>5</xdr:col>
      <xdr:colOff>447261</xdr:colOff>
      <xdr:row>5</xdr:row>
      <xdr:rowOff>180976</xdr:rowOff>
    </xdr:to>
    <xdr:sp macro="" textlink="">
      <xdr:nvSpPr>
        <xdr:cNvPr id="2" name="Rectangle 1">
          <a:extLst>
            <a:ext uri="{FF2B5EF4-FFF2-40B4-BE49-F238E27FC236}">
              <a16:creationId xmlns:a16="http://schemas.microsoft.com/office/drawing/2014/main" id="{00000000-0008-0000-0000-000002000000}"/>
            </a:ext>
          </a:extLst>
        </xdr:cNvPr>
        <xdr:cNvSpPr/>
      </xdr:nvSpPr>
      <xdr:spPr>
        <a:xfrm>
          <a:off x="384727" y="364850"/>
          <a:ext cx="4270099" cy="876300"/>
        </a:xfrm>
        <a:prstGeom prst="rect">
          <a:avLst/>
        </a:prstGeom>
        <a:solidFill>
          <a:schemeClr val="accent1">
            <a:lumMod val="20000"/>
            <a:lumOff val="80000"/>
          </a:schemeClr>
        </a:solidFill>
      </xdr:spPr>
      <xdr:style>
        <a:lnRef idx="2">
          <a:schemeClr val="accent1">
            <a:shade val="50000"/>
          </a:schemeClr>
        </a:lnRef>
        <a:fillRef idx="1">
          <a:schemeClr val="accent1"/>
        </a:fillRef>
        <a:effectRef idx="0">
          <a:schemeClr val="accent1"/>
        </a:effectRef>
        <a:fontRef idx="minor">
          <a:schemeClr val="lt1"/>
        </a:fontRef>
      </xdr:style>
      <xdr:txBody>
        <a:bodyPr vertOverflow="clip" rtlCol="0" anchor="ctr"/>
        <a:lstStyle/>
        <a:p>
          <a:pPr algn="l"/>
          <a:r>
            <a:rPr lang="fr-FR" sz="1400">
              <a:solidFill>
                <a:sysClr val="windowText" lastClr="000000"/>
              </a:solidFill>
            </a:rPr>
            <a:t>L'entreprise produit ce qu'elle prévoit de vendre , visant un stock zéro en fin de mois.</a:t>
          </a:r>
        </a:p>
        <a:p>
          <a:pPr algn="l"/>
          <a:r>
            <a:rPr lang="fr-FR" sz="1400">
              <a:solidFill>
                <a:sysClr val="windowText" lastClr="000000"/>
              </a:solidFill>
            </a:rPr>
            <a:t>En janvier,</a:t>
          </a:r>
          <a:r>
            <a:rPr lang="fr-FR" sz="1400" baseline="0">
              <a:solidFill>
                <a:sysClr val="windowText" lastClr="000000"/>
              </a:solidFill>
            </a:rPr>
            <a:t> elle tient compte du stock fin décembre. </a:t>
          </a:r>
          <a:endParaRPr lang="fr-FR" sz="1400">
            <a:solidFill>
              <a:sysClr val="windowText" lastClr="000000"/>
            </a:solidFill>
          </a:endParaRPr>
        </a:p>
      </xdr:txBody>
    </xdr:sp>
    <xdr:clientData/>
  </xdr:twoCellAnchor>
  <xdr:twoCellAnchor>
    <xdr:from>
      <xdr:col>8</xdr:col>
      <xdr:colOff>447675</xdr:colOff>
      <xdr:row>1</xdr:row>
      <xdr:rowOff>85725</xdr:rowOff>
    </xdr:from>
    <xdr:to>
      <xdr:col>13</xdr:col>
      <xdr:colOff>752475</xdr:colOff>
      <xdr:row>5</xdr:row>
      <xdr:rowOff>180975</xdr:rowOff>
    </xdr:to>
    <xdr:sp macro="" textlink="">
      <xdr:nvSpPr>
        <xdr:cNvPr id="3" name="Rectangle 2">
          <a:extLst>
            <a:ext uri="{FF2B5EF4-FFF2-40B4-BE49-F238E27FC236}">
              <a16:creationId xmlns:a16="http://schemas.microsoft.com/office/drawing/2014/main" id="{00000000-0008-0000-0000-000003000000}"/>
            </a:ext>
          </a:extLst>
        </xdr:cNvPr>
        <xdr:cNvSpPr/>
      </xdr:nvSpPr>
      <xdr:spPr>
        <a:xfrm>
          <a:off x="6934200" y="381000"/>
          <a:ext cx="4114800" cy="857250"/>
        </a:xfrm>
        <a:prstGeom prst="rect">
          <a:avLst/>
        </a:prstGeom>
        <a:solidFill>
          <a:srgbClr val="F8A6B8"/>
        </a:solidFill>
      </xdr:spPr>
      <xdr:style>
        <a:lnRef idx="2">
          <a:schemeClr val="accent1">
            <a:shade val="50000"/>
          </a:schemeClr>
        </a:lnRef>
        <a:fillRef idx="1">
          <a:schemeClr val="accent1"/>
        </a:fillRef>
        <a:effectRef idx="0">
          <a:schemeClr val="accent1"/>
        </a:effectRef>
        <a:fontRef idx="minor">
          <a:schemeClr val="lt1"/>
        </a:fontRef>
      </xdr:style>
      <xdr:txBody>
        <a:bodyPr vertOverflow="clip" rtlCol="0" anchor="ctr"/>
        <a:lstStyle/>
        <a:p>
          <a:pPr algn="ctr"/>
          <a:r>
            <a:rPr lang="fr-FR" sz="1400">
              <a:solidFill>
                <a:sysClr val="windowText" lastClr="000000"/>
              </a:solidFill>
            </a:rPr>
            <a:t>Pour répondre aux besoins , il faudrait investir dans 11 machines de moulage et 13 machines de finition en juin.</a:t>
          </a:r>
        </a:p>
      </xdr:txBody>
    </xdr:sp>
    <xdr:clientData/>
  </xdr:twoCellAnchor>
  <xdr:twoCellAnchor>
    <xdr:from>
      <xdr:col>14</xdr:col>
      <xdr:colOff>38100</xdr:colOff>
      <xdr:row>11</xdr:row>
      <xdr:rowOff>180975</xdr:rowOff>
    </xdr:from>
    <xdr:to>
      <xdr:col>16</xdr:col>
      <xdr:colOff>85725</xdr:colOff>
      <xdr:row>16</xdr:row>
      <xdr:rowOff>85725</xdr:rowOff>
    </xdr:to>
    <xdr:sp macro="" textlink="">
      <xdr:nvSpPr>
        <xdr:cNvPr id="4" name="Rectangle 3">
          <a:extLst>
            <a:ext uri="{FF2B5EF4-FFF2-40B4-BE49-F238E27FC236}">
              <a16:creationId xmlns:a16="http://schemas.microsoft.com/office/drawing/2014/main" id="{00000000-0008-0000-0000-000004000000}"/>
            </a:ext>
          </a:extLst>
        </xdr:cNvPr>
        <xdr:cNvSpPr/>
      </xdr:nvSpPr>
      <xdr:spPr>
        <a:xfrm>
          <a:off x="11096625" y="2419350"/>
          <a:ext cx="695325" cy="857250"/>
        </a:xfrm>
        <a:prstGeom prst="rect">
          <a:avLst/>
        </a:prstGeom>
        <a:solidFill>
          <a:schemeClr val="bg1"/>
        </a:solidFill>
        <a:ln>
          <a:solidFill>
            <a:schemeClr val="bg1"/>
          </a:solidFill>
        </a:ln>
      </xdr:spPr>
      <xdr:style>
        <a:lnRef idx="2">
          <a:schemeClr val="accent1">
            <a:shade val="50000"/>
          </a:schemeClr>
        </a:lnRef>
        <a:fillRef idx="1">
          <a:schemeClr val="accent1"/>
        </a:fillRef>
        <a:effectRef idx="0">
          <a:schemeClr val="accent1"/>
        </a:effectRef>
        <a:fontRef idx="minor">
          <a:schemeClr val="lt1"/>
        </a:fontRef>
      </xdr:style>
      <xdr:txBody>
        <a:bodyPr vertOverflow="clip" rtlCol="0" anchor="ctr"/>
        <a:lstStyle/>
        <a:p>
          <a:pPr algn="ctr"/>
          <a:endParaRPr lang="fr-FR" sz="1100"/>
        </a:p>
      </xdr:txBody>
    </xdr:sp>
    <xdr:clientData/>
  </xdr:twoCellAnchor>
</xdr:wsDr>
</file>

<file path=xl/drawings/drawing2.xml><?xml version="1.0" encoding="utf-8"?>
<xdr:wsDr xmlns:xdr="http://schemas.openxmlformats.org/drawingml/2006/spreadsheetDrawing" xmlns:a="http://schemas.openxmlformats.org/drawingml/2006/main">
  <xdr:twoCellAnchor>
    <xdr:from>
      <xdr:col>1</xdr:col>
      <xdr:colOff>28575</xdr:colOff>
      <xdr:row>1</xdr:row>
      <xdr:rowOff>66676</xdr:rowOff>
    </xdr:from>
    <xdr:to>
      <xdr:col>4</xdr:col>
      <xdr:colOff>161925</xdr:colOff>
      <xdr:row>5</xdr:row>
      <xdr:rowOff>180976</xdr:rowOff>
    </xdr:to>
    <xdr:sp macro="" textlink="">
      <xdr:nvSpPr>
        <xdr:cNvPr id="2" name="Rectangle 1">
          <a:extLst>
            <a:ext uri="{FF2B5EF4-FFF2-40B4-BE49-F238E27FC236}">
              <a16:creationId xmlns:a16="http://schemas.microsoft.com/office/drawing/2014/main" id="{00000000-0008-0000-0100-000002000000}"/>
            </a:ext>
          </a:extLst>
        </xdr:cNvPr>
        <xdr:cNvSpPr/>
      </xdr:nvSpPr>
      <xdr:spPr>
        <a:xfrm>
          <a:off x="381000" y="361951"/>
          <a:ext cx="3219450" cy="876300"/>
        </a:xfrm>
        <a:prstGeom prst="rect">
          <a:avLst/>
        </a:prstGeom>
        <a:solidFill>
          <a:schemeClr val="accent1">
            <a:lumMod val="20000"/>
            <a:lumOff val="80000"/>
          </a:schemeClr>
        </a:solidFill>
      </xdr:spPr>
      <xdr:style>
        <a:lnRef idx="2">
          <a:schemeClr val="accent1">
            <a:shade val="50000"/>
          </a:schemeClr>
        </a:lnRef>
        <a:fillRef idx="1">
          <a:schemeClr val="accent1"/>
        </a:fillRef>
        <a:effectRef idx="0">
          <a:schemeClr val="accent1"/>
        </a:effectRef>
        <a:fontRef idx="minor">
          <a:schemeClr val="lt1"/>
        </a:fontRef>
      </xdr:style>
      <xdr:txBody>
        <a:bodyPr vertOverflow="clip" rtlCol="0" anchor="ctr"/>
        <a:lstStyle/>
        <a:p>
          <a:pPr algn="l"/>
          <a:r>
            <a:rPr lang="fr-FR" sz="1100">
              <a:solidFill>
                <a:sysClr val="windowText" lastClr="000000"/>
              </a:solidFill>
            </a:rPr>
            <a:t>L'entreprise produit le</a:t>
          </a:r>
          <a:r>
            <a:rPr lang="fr-FR" sz="1100" baseline="0">
              <a:solidFill>
                <a:sysClr val="windowText" lastClr="000000"/>
              </a:solidFill>
            </a:rPr>
            <a:t> maximum possible compte tenu du parc machines à la fin de l'année zéro.</a:t>
          </a:r>
          <a:endParaRPr lang="fr-FR" sz="1100">
            <a:solidFill>
              <a:sysClr val="windowText" lastClr="000000"/>
            </a:solidFill>
          </a:endParaRPr>
        </a:p>
        <a:p>
          <a:pPr algn="l"/>
          <a:r>
            <a:rPr lang="fr-FR" sz="1100">
              <a:solidFill>
                <a:sysClr val="windowText" lastClr="000000"/>
              </a:solidFill>
            </a:rPr>
            <a:t>5 machines de moulage,</a:t>
          </a:r>
          <a:r>
            <a:rPr lang="fr-FR" sz="1100" baseline="0">
              <a:solidFill>
                <a:sysClr val="windowText" lastClr="000000"/>
              </a:solidFill>
            </a:rPr>
            <a:t> soit 1 000 HTM disponibles.</a:t>
          </a:r>
        </a:p>
        <a:p>
          <a:pPr algn="l"/>
          <a:r>
            <a:rPr lang="fr-FR" sz="1100" baseline="0">
              <a:solidFill>
                <a:sysClr val="windowText" lastClr="000000"/>
              </a:solidFill>
            </a:rPr>
            <a:t>6 machines de finition, soit 1 200 HTM disponibles</a:t>
          </a:r>
          <a:endParaRPr lang="fr-FR" sz="1100">
            <a:solidFill>
              <a:sysClr val="windowText" lastClr="000000"/>
            </a:solidFill>
          </a:endParaRPr>
        </a:p>
      </xdr:txBody>
    </xdr:sp>
    <xdr:clientData/>
  </xdr:twoCellAnchor>
  <xdr:twoCellAnchor>
    <xdr:from>
      <xdr:col>8</xdr:col>
      <xdr:colOff>447675</xdr:colOff>
      <xdr:row>1</xdr:row>
      <xdr:rowOff>85725</xdr:rowOff>
    </xdr:from>
    <xdr:to>
      <xdr:col>13</xdr:col>
      <xdr:colOff>752475</xdr:colOff>
      <xdr:row>5</xdr:row>
      <xdr:rowOff>180975</xdr:rowOff>
    </xdr:to>
    <xdr:sp macro="" textlink="">
      <xdr:nvSpPr>
        <xdr:cNvPr id="3" name="Rectangle 2">
          <a:extLst>
            <a:ext uri="{FF2B5EF4-FFF2-40B4-BE49-F238E27FC236}">
              <a16:creationId xmlns:a16="http://schemas.microsoft.com/office/drawing/2014/main" id="{00000000-0008-0000-0100-000003000000}"/>
            </a:ext>
          </a:extLst>
        </xdr:cNvPr>
        <xdr:cNvSpPr/>
      </xdr:nvSpPr>
      <xdr:spPr>
        <a:xfrm>
          <a:off x="6934200" y="381000"/>
          <a:ext cx="4114800" cy="857250"/>
        </a:xfrm>
        <a:prstGeom prst="rect">
          <a:avLst/>
        </a:prstGeom>
        <a:solidFill>
          <a:srgbClr val="F8A6B8"/>
        </a:solidFill>
      </xdr:spPr>
      <xdr:style>
        <a:lnRef idx="2">
          <a:schemeClr val="accent1">
            <a:shade val="50000"/>
          </a:schemeClr>
        </a:lnRef>
        <a:fillRef idx="1">
          <a:schemeClr val="accent1"/>
        </a:fillRef>
        <a:effectRef idx="0">
          <a:schemeClr val="accent1"/>
        </a:effectRef>
        <a:fontRef idx="minor">
          <a:schemeClr val="lt1"/>
        </a:fontRef>
      </xdr:style>
      <xdr:txBody>
        <a:bodyPr vertOverflow="clip" rtlCol="0" anchor="ctr"/>
        <a:lstStyle/>
        <a:p>
          <a:pPr algn="ctr"/>
          <a:r>
            <a:rPr lang="fr-FR" sz="1400">
              <a:solidFill>
                <a:sysClr val="windowText" lastClr="000000"/>
              </a:solidFill>
            </a:rPr>
            <a:t>Le parc machines est utilisé à plein.</a:t>
          </a:r>
        </a:p>
        <a:p>
          <a:pPr algn="ctr"/>
          <a:r>
            <a:rPr lang="fr-FR" sz="1400">
              <a:solidFill>
                <a:sysClr val="windowText" lastClr="000000"/>
              </a:solidFill>
            </a:rPr>
            <a:t>Mais les ruptures de stocks sont très fréquentes</a:t>
          </a:r>
        </a:p>
      </xdr:txBody>
    </xdr:sp>
    <xdr:clientData/>
  </xdr:twoCellAnchor>
  <xdr:twoCellAnchor>
    <xdr:from>
      <xdr:col>14</xdr:col>
      <xdr:colOff>21981</xdr:colOff>
      <xdr:row>7</xdr:row>
      <xdr:rowOff>9525</xdr:rowOff>
    </xdr:from>
    <xdr:to>
      <xdr:col>16</xdr:col>
      <xdr:colOff>150201</xdr:colOff>
      <xdr:row>16</xdr:row>
      <xdr:rowOff>0</xdr:rowOff>
    </xdr:to>
    <xdr:sp macro="" textlink="">
      <xdr:nvSpPr>
        <xdr:cNvPr id="4" name="Rectangle 3">
          <a:extLst>
            <a:ext uri="{FF2B5EF4-FFF2-40B4-BE49-F238E27FC236}">
              <a16:creationId xmlns:a16="http://schemas.microsoft.com/office/drawing/2014/main" id="{00000000-0008-0000-0100-000004000000}"/>
            </a:ext>
          </a:extLst>
        </xdr:cNvPr>
        <xdr:cNvSpPr/>
      </xdr:nvSpPr>
      <xdr:spPr>
        <a:xfrm>
          <a:off x="11034346" y="1452929"/>
          <a:ext cx="941509" cy="1734283"/>
        </a:xfrm>
        <a:prstGeom prst="rect">
          <a:avLst/>
        </a:prstGeom>
        <a:solidFill>
          <a:schemeClr val="bg1"/>
        </a:solidFill>
        <a:ln>
          <a:solidFill>
            <a:schemeClr val="bg1"/>
          </a:solidFill>
        </a:ln>
      </xdr:spPr>
      <xdr:style>
        <a:lnRef idx="2">
          <a:schemeClr val="accent1">
            <a:shade val="50000"/>
          </a:schemeClr>
        </a:lnRef>
        <a:fillRef idx="1">
          <a:schemeClr val="accent1"/>
        </a:fillRef>
        <a:effectRef idx="0">
          <a:schemeClr val="accent1"/>
        </a:effectRef>
        <a:fontRef idx="minor">
          <a:schemeClr val="lt1"/>
        </a:fontRef>
      </xdr:style>
      <xdr:txBody>
        <a:bodyPr vertOverflow="clip" rtlCol="0" anchor="ctr"/>
        <a:lstStyle/>
        <a:p>
          <a:pPr algn="ctr"/>
          <a:endParaRPr lang="fr-FR" sz="1100"/>
        </a:p>
      </xdr:txBody>
    </xdr:sp>
    <xdr:clientData/>
  </xdr:twoCellAnchor>
</xdr:wsDr>
</file>

<file path=xl/drawings/drawing3.xml><?xml version="1.0" encoding="utf-8"?>
<xdr:wsDr xmlns:xdr="http://schemas.openxmlformats.org/drawingml/2006/spreadsheetDrawing" xmlns:a="http://schemas.openxmlformats.org/drawingml/2006/main">
  <xdr:twoCellAnchor>
    <xdr:from>
      <xdr:col>1</xdr:col>
      <xdr:colOff>28575</xdr:colOff>
      <xdr:row>1</xdr:row>
      <xdr:rowOff>66676</xdr:rowOff>
    </xdr:from>
    <xdr:to>
      <xdr:col>4</xdr:col>
      <xdr:colOff>161925</xdr:colOff>
      <xdr:row>6</xdr:row>
      <xdr:rowOff>152400</xdr:rowOff>
    </xdr:to>
    <xdr:sp macro="" textlink="">
      <xdr:nvSpPr>
        <xdr:cNvPr id="2" name="Rectangle 1">
          <a:extLst>
            <a:ext uri="{FF2B5EF4-FFF2-40B4-BE49-F238E27FC236}">
              <a16:creationId xmlns:a16="http://schemas.microsoft.com/office/drawing/2014/main" id="{00000000-0008-0000-0200-000002000000}"/>
            </a:ext>
          </a:extLst>
        </xdr:cNvPr>
        <xdr:cNvSpPr/>
      </xdr:nvSpPr>
      <xdr:spPr>
        <a:xfrm>
          <a:off x="409575" y="361951"/>
          <a:ext cx="3190875" cy="1038224"/>
        </a:xfrm>
        <a:prstGeom prst="rect">
          <a:avLst/>
        </a:prstGeom>
        <a:solidFill>
          <a:schemeClr val="accent1">
            <a:lumMod val="20000"/>
            <a:lumOff val="80000"/>
          </a:schemeClr>
        </a:solidFill>
      </xdr:spPr>
      <xdr:style>
        <a:lnRef idx="2">
          <a:schemeClr val="accent1">
            <a:shade val="50000"/>
          </a:schemeClr>
        </a:lnRef>
        <a:fillRef idx="1">
          <a:schemeClr val="accent1"/>
        </a:fillRef>
        <a:effectRef idx="0">
          <a:schemeClr val="accent1"/>
        </a:effectRef>
        <a:fontRef idx="minor">
          <a:schemeClr val="lt1"/>
        </a:fontRef>
      </xdr:style>
      <xdr:txBody>
        <a:bodyPr vertOverflow="clip" rtlCol="0" anchor="ctr"/>
        <a:lstStyle/>
        <a:p>
          <a:pPr algn="l"/>
          <a:r>
            <a:rPr lang="fr-FR" sz="1600">
              <a:solidFill>
                <a:sysClr val="windowText" lastClr="000000"/>
              </a:solidFill>
            </a:rPr>
            <a:t>En se fondant sur les ventes prévisionnelles moyennes. Ici</a:t>
          </a:r>
          <a:r>
            <a:rPr lang="fr-FR" sz="1600" baseline="0">
              <a:solidFill>
                <a:sysClr val="windowText" lastClr="000000"/>
              </a:solidFill>
            </a:rPr>
            <a:t> :</a:t>
          </a:r>
        </a:p>
        <a:p>
          <a:pPr algn="ctr"/>
          <a:r>
            <a:rPr lang="fr-FR" sz="1600">
              <a:solidFill>
                <a:sysClr val="windowText" lastClr="000000"/>
              </a:solidFill>
            </a:rPr>
            <a:t>60 pour le bateau Pech4</a:t>
          </a:r>
        </a:p>
        <a:p>
          <a:pPr algn="ctr"/>
          <a:r>
            <a:rPr lang="fr-FR" sz="1600">
              <a:solidFill>
                <a:sysClr val="windowText" lastClr="000000"/>
              </a:solidFill>
            </a:rPr>
            <a:t>70 pour le bateau  Prom5.5</a:t>
          </a:r>
        </a:p>
        <a:p>
          <a:pPr algn="ctr"/>
          <a:r>
            <a:rPr lang="fr-FR" sz="1600">
              <a:solidFill>
                <a:sysClr val="windowText" lastClr="000000"/>
              </a:solidFill>
            </a:rPr>
            <a:t>10</a:t>
          </a:r>
          <a:r>
            <a:rPr lang="fr-FR" sz="1600" baseline="0">
              <a:solidFill>
                <a:sysClr val="windowText" lastClr="000000"/>
              </a:solidFill>
            </a:rPr>
            <a:t> pour le bateau Stan8</a:t>
          </a:r>
          <a:endParaRPr lang="fr-FR" sz="1600">
            <a:solidFill>
              <a:sysClr val="windowText" lastClr="000000"/>
            </a:solidFill>
          </a:endParaRPr>
        </a:p>
      </xdr:txBody>
    </xdr:sp>
    <xdr:clientData/>
  </xdr:twoCellAnchor>
  <xdr:twoCellAnchor>
    <xdr:from>
      <xdr:col>8</xdr:col>
      <xdr:colOff>466725</xdr:colOff>
      <xdr:row>1</xdr:row>
      <xdr:rowOff>95249</xdr:rowOff>
    </xdr:from>
    <xdr:to>
      <xdr:col>13</xdr:col>
      <xdr:colOff>771525</xdr:colOff>
      <xdr:row>6</xdr:row>
      <xdr:rowOff>200024</xdr:rowOff>
    </xdr:to>
    <xdr:sp macro="" textlink="">
      <xdr:nvSpPr>
        <xdr:cNvPr id="3" name="Rectangle 2">
          <a:extLst>
            <a:ext uri="{FF2B5EF4-FFF2-40B4-BE49-F238E27FC236}">
              <a16:creationId xmlns:a16="http://schemas.microsoft.com/office/drawing/2014/main" id="{00000000-0008-0000-0200-000003000000}"/>
            </a:ext>
          </a:extLst>
        </xdr:cNvPr>
        <xdr:cNvSpPr/>
      </xdr:nvSpPr>
      <xdr:spPr>
        <a:xfrm>
          <a:off x="7981950" y="390524"/>
          <a:ext cx="4972050" cy="1476375"/>
        </a:xfrm>
        <a:prstGeom prst="rect">
          <a:avLst/>
        </a:prstGeom>
        <a:solidFill>
          <a:srgbClr val="F8A6B8"/>
        </a:solidFill>
      </xdr:spPr>
      <xdr:style>
        <a:lnRef idx="2">
          <a:schemeClr val="accent1">
            <a:shade val="50000"/>
          </a:schemeClr>
        </a:lnRef>
        <a:fillRef idx="1">
          <a:schemeClr val="accent1"/>
        </a:fillRef>
        <a:effectRef idx="0">
          <a:schemeClr val="accent1"/>
        </a:effectRef>
        <a:fontRef idx="minor">
          <a:schemeClr val="lt1"/>
        </a:fontRef>
      </xdr:style>
      <xdr:txBody>
        <a:bodyPr vertOverflow="clip" rtlCol="0" anchor="ctr"/>
        <a:lstStyle/>
        <a:p>
          <a:pPr algn="ctr"/>
          <a:r>
            <a:rPr lang="fr-FR" sz="1600">
              <a:solidFill>
                <a:sysClr val="windowText" lastClr="000000"/>
              </a:solidFill>
              <a:latin typeface="Calibri" pitchFamily="34" charset="0"/>
              <a:cs typeface="Calibri" pitchFamily="34" charset="0"/>
            </a:rPr>
            <a:t>Le parc machines est utilisé à plein.</a:t>
          </a:r>
        </a:p>
        <a:p>
          <a:pPr algn="ctr"/>
          <a:r>
            <a:rPr lang="fr-FR" sz="1600">
              <a:solidFill>
                <a:sysClr val="windowText" lastClr="000000"/>
              </a:solidFill>
              <a:latin typeface="Calibri" pitchFamily="34" charset="0"/>
              <a:cs typeface="Calibri" pitchFamily="34" charset="0"/>
            </a:rPr>
            <a:t>Les ruptures de stocks sont rares.</a:t>
          </a:r>
        </a:p>
        <a:p>
          <a:pPr algn="ctr"/>
          <a:r>
            <a:rPr lang="fr-FR" sz="1600">
              <a:solidFill>
                <a:sysClr val="windowText" lastClr="000000"/>
              </a:solidFill>
              <a:latin typeface="Calibri" pitchFamily="34" charset="0"/>
              <a:cs typeface="Calibri" pitchFamily="34" charset="0"/>
            </a:rPr>
            <a:t>Mais nous avons des stocks relativement importants</a:t>
          </a:r>
          <a:r>
            <a:rPr lang="fr-FR" sz="1600" baseline="0">
              <a:solidFill>
                <a:sysClr val="windowText" lastClr="000000"/>
              </a:solidFill>
              <a:latin typeface="Calibri" pitchFamily="34" charset="0"/>
              <a:cs typeface="Calibri" pitchFamily="34" charset="0"/>
            </a:rPr>
            <a:t> :</a:t>
          </a:r>
          <a:endParaRPr lang="fr-FR" sz="1600">
            <a:solidFill>
              <a:sysClr val="windowText" lastClr="000000"/>
            </a:solidFill>
            <a:latin typeface="Calibri" pitchFamily="34" charset="0"/>
            <a:cs typeface="Calibri" pitchFamily="34" charset="0"/>
          </a:endParaRPr>
        </a:p>
        <a:p>
          <a:pPr algn="ctr"/>
          <a:r>
            <a:rPr lang="fr-FR" sz="1600" baseline="0">
              <a:solidFill>
                <a:sysClr val="windowText" lastClr="000000"/>
              </a:solidFill>
              <a:latin typeface="Calibri" pitchFamily="34" charset="0"/>
              <a:cs typeface="Calibri" pitchFamily="34" charset="0"/>
            </a:rPr>
            <a:t>48 Pech4, 84 Prom5.5 et 14 Stan8 en fin d'année 1.</a:t>
          </a:r>
          <a:endParaRPr lang="fr-FR" sz="1600">
            <a:solidFill>
              <a:sysClr val="windowText" lastClr="000000"/>
            </a:solidFill>
            <a:latin typeface="Calibri" pitchFamily="34" charset="0"/>
            <a:cs typeface="Calibri" pitchFamily="34" charset="0"/>
          </a:endParaRPr>
        </a:p>
      </xdr:txBody>
    </xdr:sp>
    <xdr:clientData/>
  </xdr:twoCellAnchor>
  <xdr:twoCellAnchor>
    <xdr:from>
      <xdr:col>4</xdr:col>
      <xdr:colOff>400050</xdr:colOff>
      <xdr:row>1</xdr:row>
      <xdr:rowOff>95250</xdr:rowOff>
    </xdr:from>
    <xdr:to>
      <xdr:col>8</xdr:col>
      <xdr:colOff>200025</xdr:colOff>
      <xdr:row>6</xdr:row>
      <xdr:rowOff>171450</xdr:rowOff>
    </xdr:to>
    <xdr:sp macro="" textlink="">
      <xdr:nvSpPr>
        <xdr:cNvPr id="4" name="Rectangle 3">
          <a:extLst>
            <a:ext uri="{FF2B5EF4-FFF2-40B4-BE49-F238E27FC236}">
              <a16:creationId xmlns:a16="http://schemas.microsoft.com/office/drawing/2014/main" id="{00000000-0008-0000-0200-000004000000}"/>
            </a:ext>
          </a:extLst>
        </xdr:cNvPr>
        <xdr:cNvSpPr/>
      </xdr:nvSpPr>
      <xdr:spPr>
        <a:xfrm>
          <a:off x="3838575" y="390525"/>
          <a:ext cx="2847975" cy="1028700"/>
        </a:xfrm>
        <a:prstGeom prst="rect">
          <a:avLst/>
        </a:prstGeom>
        <a:solidFill>
          <a:schemeClr val="accent1">
            <a:lumMod val="20000"/>
            <a:lumOff val="80000"/>
          </a:schemeClr>
        </a:solidFill>
      </xdr:spPr>
      <xdr:style>
        <a:lnRef idx="2">
          <a:schemeClr val="accent1">
            <a:shade val="50000"/>
          </a:schemeClr>
        </a:lnRef>
        <a:fillRef idx="1">
          <a:schemeClr val="accent1"/>
        </a:fillRef>
        <a:effectRef idx="0">
          <a:schemeClr val="accent1"/>
        </a:effectRef>
        <a:fontRef idx="minor">
          <a:schemeClr val="lt1"/>
        </a:fontRef>
      </xdr:style>
      <xdr:txBody>
        <a:bodyPr vertOverflow="clip" rtlCol="0" anchor="ctr"/>
        <a:lstStyle/>
        <a:p>
          <a:pPr algn="ctr"/>
          <a:r>
            <a:rPr lang="fr-FR" sz="1600">
              <a:solidFill>
                <a:sysClr val="windowText" lastClr="000000"/>
              </a:solidFill>
            </a:rPr>
            <a:t>Nous investissons</a:t>
          </a:r>
          <a:r>
            <a:rPr lang="fr-FR" sz="1600" baseline="0">
              <a:solidFill>
                <a:sysClr val="windowText" lastClr="000000"/>
              </a:solidFill>
            </a:rPr>
            <a:t> dans :</a:t>
          </a:r>
        </a:p>
        <a:p>
          <a:pPr algn="ctr"/>
          <a:r>
            <a:rPr lang="fr-FR" sz="1600" baseline="0">
              <a:solidFill>
                <a:sysClr val="windowText" lastClr="000000"/>
              </a:solidFill>
            </a:rPr>
            <a:t>3 machines de moulage</a:t>
          </a:r>
        </a:p>
        <a:p>
          <a:pPr algn="ctr"/>
          <a:r>
            <a:rPr lang="fr-FR" sz="1600" baseline="0">
              <a:solidFill>
                <a:sysClr val="windowText" lastClr="000000"/>
              </a:solidFill>
            </a:rPr>
            <a:t>4 machines de finition</a:t>
          </a:r>
          <a:r>
            <a:rPr lang="fr-FR" sz="1600">
              <a:solidFill>
                <a:sysClr val="windowText" lastClr="000000"/>
              </a:solidFill>
            </a:rPr>
            <a:t> </a:t>
          </a:r>
        </a:p>
        <a:p>
          <a:pPr algn="ctr"/>
          <a:r>
            <a:rPr lang="fr-FR" sz="1600">
              <a:solidFill>
                <a:sysClr val="windowText" lastClr="000000"/>
              </a:solidFill>
            </a:rPr>
            <a:t>pour produire</a:t>
          </a:r>
        </a:p>
        <a:p>
          <a:pPr algn="ctr"/>
          <a:r>
            <a:rPr lang="fr-FR" sz="1600">
              <a:solidFill>
                <a:sysClr val="windowText" lastClr="000000"/>
              </a:solidFill>
            </a:rPr>
            <a:t>60 Pech4, 70</a:t>
          </a:r>
          <a:r>
            <a:rPr lang="fr-FR" sz="1600" baseline="0">
              <a:solidFill>
                <a:sysClr val="windowText" lastClr="000000"/>
              </a:solidFill>
            </a:rPr>
            <a:t> Prom5.5  et 10 Stan8</a:t>
          </a:r>
          <a:r>
            <a:rPr lang="fr-FR" sz="1600">
              <a:solidFill>
                <a:sysClr val="windowText" lastClr="000000"/>
              </a:solidFill>
            </a:rPr>
            <a:t> </a:t>
          </a:r>
        </a:p>
      </xdr:txBody>
    </xdr:sp>
    <xdr:clientData/>
  </xdr:twoCellAnchor>
  <xdr:twoCellAnchor>
    <xdr:from>
      <xdr:col>14</xdr:col>
      <xdr:colOff>38100</xdr:colOff>
      <xdr:row>6</xdr:row>
      <xdr:rowOff>257175</xdr:rowOff>
    </xdr:from>
    <xdr:to>
      <xdr:col>16</xdr:col>
      <xdr:colOff>19050</xdr:colOff>
      <xdr:row>17</xdr:row>
      <xdr:rowOff>38100</xdr:rowOff>
    </xdr:to>
    <xdr:sp macro="" textlink="">
      <xdr:nvSpPr>
        <xdr:cNvPr id="5" name="Rectangle 4">
          <a:extLst>
            <a:ext uri="{FF2B5EF4-FFF2-40B4-BE49-F238E27FC236}">
              <a16:creationId xmlns:a16="http://schemas.microsoft.com/office/drawing/2014/main" id="{00000000-0008-0000-0200-000005000000}"/>
            </a:ext>
          </a:extLst>
        </xdr:cNvPr>
        <xdr:cNvSpPr/>
      </xdr:nvSpPr>
      <xdr:spPr>
        <a:xfrm>
          <a:off x="13154025" y="1924050"/>
          <a:ext cx="695325" cy="3028950"/>
        </a:xfrm>
        <a:prstGeom prst="rect">
          <a:avLst/>
        </a:prstGeom>
        <a:solidFill>
          <a:schemeClr val="bg1"/>
        </a:solidFill>
        <a:ln>
          <a:solidFill>
            <a:schemeClr val="bg1"/>
          </a:solidFill>
        </a:ln>
      </xdr:spPr>
      <xdr:style>
        <a:lnRef idx="2">
          <a:schemeClr val="accent1">
            <a:shade val="50000"/>
          </a:schemeClr>
        </a:lnRef>
        <a:fillRef idx="1">
          <a:schemeClr val="accent1"/>
        </a:fillRef>
        <a:effectRef idx="0">
          <a:schemeClr val="accent1"/>
        </a:effectRef>
        <a:fontRef idx="minor">
          <a:schemeClr val="lt1"/>
        </a:fontRef>
      </xdr:style>
      <xdr:txBody>
        <a:bodyPr vertOverflow="clip" rtlCol="0" anchor="ctr"/>
        <a:lstStyle/>
        <a:p>
          <a:pPr algn="ctr"/>
          <a:endParaRPr lang="fr-FR" sz="1100"/>
        </a:p>
      </xdr:txBody>
    </xdr:sp>
    <xdr:clientData/>
  </xdr:twoCellAnchor>
</xdr:wsDr>
</file>

<file path=xl/theme/theme1.xml><?xml version="1.0" encoding="utf-8"?>
<a:theme xmlns:a="http://schemas.openxmlformats.org/drawingml/2006/main" name="Thème Offic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 panose="020F0302020204030204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ajorFont>
      <a:minorFont>
        <a:latin typeface="Calibri" panose="020F0502020204030204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_rels/sheet1.xml.rels><?xml version="1.0" encoding="UTF-8" standalone="yes"?>
<Relationships xmlns="http://schemas.openxmlformats.org/package/2006/relationships"><Relationship Id="rId2" Type="http://schemas.openxmlformats.org/officeDocument/2006/relationships/drawing" Target="../drawings/drawing1.xml"/><Relationship Id="rId1" Type="http://schemas.openxmlformats.org/officeDocument/2006/relationships/printerSettings" Target="../printerSettings/printerSettings1.bin"/></Relationships>
</file>

<file path=xl/worksheets/_rels/sheet2.xml.rels><?xml version="1.0" encoding="UTF-8" standalone="yes"?>
<Relationships xmlns="http://schemas.openxmlformats.org/package/2006/relationships"><Relationship Id="rId2" Type="http://schemas.openxmlformats.org/officeDocument/2006/relationships/drawing" Target="../drawings/drawing2.xml"/><Relationship Id="rId1" Type="http://schemas.openxmlformats.org/officeDocument/2006/relationships/printerSettings" Target="../printerSettings/printerSettings2.bin"/></Relationships>
</file>

<file path=xl/worksheets/_rels/sheet3.xml.rels><?xml version="1.0" encoding="UTF-8" standalone="yes"?>
<Relationships xmlns="http://schemas.openxmlformats.org/package/2006/relationships"><Relationship Id="rId2" Type="http://schemas.openxmlformats.org/officeDocument/2006/relationships/drawing" Target="../drawings/drawing3.xml"/><Relationship Id="rId1" Type="http://schemas.openxmlformats.org/officeDocument/2006/relationships/printerSettings" Target="../printerSettings/printerSettings3.bin"/></Relationships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000-000000000000}">
  <sheetPr>
    <tabColor rgb="FF00B050"/>
  </sheetPr>
  <dimension ref="B1:P25"/>
  <sheetViews>
    <sheetView showGridLines="0" zoomScale="115" zoomScaleNormal="115" workbookViewId="0">
      <selection activeCell="D31" sqref="D31"/>
    </sheetView>
  </sheetViews>
  <sheetFormatPr baseColWidth="10" defaultRowHeight="15" x14ac:dyDescent="0.25"/>
  <cols>
    <col min="1" max="1" width="5.28515625" customWidth="1"/>
    <col min="2" max="2" width="23.42578125" customWidth="1"/>
    <col min="15" max="15" width="5.140625" customWidth="1"/>
    <col min="16" max="16" width="4.5703125" customWidth="1"/>
  </cols>
  <sheetData>
    <row r="1" spans="2:16" ht="23.25" x14ac:dyDescent="0.35">
      <c r="B1" s="46" t="s">
        <v>16</v>
      </c>
      <c r="C1" s="46"/>
      <c r="D1" s="46"/>
      <c r="E1" s="46"/>
      <c r="F1" s="46"/>
      <c r="G1" s="46"/>
      <c r="H1" s="46"/>
      <c r="I1" s="46"/>
      <c r="J1" s="46"/>
      <c r="K1" s="46"/>
      <c r="L1" s="46"/>
      <c r="M1" s="46"/>
      <c r="N1" s="46"/>
    </row>
    <row r="7" spans="2:16" ht="15.75" thickBot="1" x14ac:dyDescent="0.3"/>
    <row r="8" spans="2:16" ht="16.5" thickTop="1" thickBot="1" x14ac:dyDescent="0.3">
      <c r="B8" s="13" t="s">
        <v>1</v>
      </c>
      <c r="C8" s="14" t="s">
        <v>4</v>
      </c>
      <c r="D8" s="14" t="s">
        <v>5</v>
      </c>
      <c r="E8" s="14" t="s">
        <v>6</v>
      </c>
      <c r="F8" s="14" t="s">
        <v>7</v>
      </c>
      <c r="G8" s="14" t="s">
        <v>8</v>
      </c>
      <c r="H8" s="14" t="s">
        <v>9</v>
      </c>
      <c r="I8" s="14" t="s">
        <v>10</v>
      </c>
      <c r="J8" s="14" t="s">
        <v>11</v>
      </c>
      <c r="K8" s="14" t="s">
        <v>12</v>
      </c>
      <c r="L8" s="14" t="s">
        <v>13</v>
      </c>
      <c r="M8" s="14" t="s">
        <v>14</v>
      </c>
      <c r="N8" s="15" t="s">
        <v>15</v>
      </c>
    </row>
    <row r="9" spans="2:16" ht="15.75" thickTop="1" x14ac:dyDescent="0.25">
      <c r="B9" s="16" t="s">
        <v>0</v>
      </c>
      <c r="C9" s="18"/>
      <c r="D9" s="18"/>
      <c r="E9" s="18"/>
      <c r="F9" s="18"/>
      <c r="G9" s="18"/>
      <c r="H9" s="18"/>
      <c r="I9" s="18"/>
      <c r="J9" s="18"/>
      <c r="K9" s="18"/>
      <c r="L9" s="18"/>
      <c r="M9" s="18"/>
      <c r="N9" s="19"/>
    </row>
    <row r="10" spans="2:16" x14ac:dyDescent="0.25">
      <c r="B10" s="20" t="s">
        <v>31</v>
      </c>
      <c r="C10" s="21">
        <v>42</v>
      </c>
      <c r="D10" s="21">
        <v>42</v>
      </c>
      <c r="E10" s="21">
        <v>42</v>
      </c>
      <c r="F10" s="21">
        <v>48</v>
      </c>
      <c r="G10" s="21">
        <v>90</v>
      </c>
      <c r="H10" s="21">
        <v>108</v>
      </c>
      <c r="I10" s="21">
        <v>96</v>
      </c>
      <c r="J10" s="21">
        <v>60</v>
      </c>
      <c r="K10" s="21">
        <v>54</v>
      </c>
      <c r="L10" s="21">
        <v>48</v>
      </c>
      <c r="M10" s="21">
        <v>42</v>
      </c>
      <c r="N10" s="22">
        <v>48</v>
      </c>
    </row>
    <row r="11" spans="2:16" x14ac:dyDescent="0.25">
      <c r="B11" s="20" t="s">
        <v>30</v>
      </c>
      <c r="C11" s="21">
        <v>35</v>
      </c>
      <c r="D11" s="21">
        <v>35</v>
      </c>
      <c r="E11" s="21">
        <v>42</v>
      </c>
      <c r="F11" s="21">
        <v>70</v>
      </c>
      <c r="G11" s="21">
        <v>126</v>
      </c>
      <c r="H11" s="21">
        <v>140</v>
      </c>
      <c r="I11" s="21">
        <v>126</v>
      </c>
      <c r="J11" s="21">
        <v>70</v>
      </c>
      <c r="K11" s="21">
        <v>56</v>
      </c>
      <c r="L11" s="21">
        <v>42</v>
      </c>
      <c r="M11" s="21">
        <v>28</v>
      </c>
      <c r="N11" s="22">
        <v>70</v>
      </c>
    </row>
    <row r="12" spans="2:16" x14ac:dyDescent="0.25">
      <c r="B12" s="20" t="s">
        <v>29</v>
      </c>
      <c r="C12" s="21">
        <v>4</v>
      </c>
      <c r="D12" s="21">
        <v>2</v>
      </c>
      <c r="E12" s="21">
        <v>3</v>
      </c>
      <c r="F12" s="21">
        <v>7</v>
      </c>
      <c r="G12" s="21">
        <v>16</v>
      </c>
      <c r="H12" s="21">
        <v>22</v>
      </c>
      <c r="I12" s="21">
        <v>18</v>
      </c>
      <c r="J12" s="21">
        <v>10</v>
      </c>
      <c r="K12" s="21">
        <v>8</v>
      </c>
      <c r="L12" s="21">
        <v>6</v>
      </c>
      <c r="M12" s="21">
        <v>4</v>
      </c>
      <c r="N12" s="22">
        <v>10</v>
      </c>
    </row>
    <row r="13" spans="2:16" x14ac:dyDescent="0.25">
      <c r="B13" s="17" t="s">
        <v>2</v>
      </c>
      <c r="C13" s="23"/>
      <c r="D13" s="23"/>
      <c r="E13" s="23"/>
      <c r="F13" s="23"/>
      <c r="G13" s="23"/>
      <c r="H13" s="23"/>
      <c r="I13" s="23"/>
      <c r="J13" s="23"/>
      <c r="K13" s="23"/>
      <c r="L13" s="23"/>
      <c r="M13" s="23"/>
      <c r="N13" s="24"/>
      <c r="O13" s="3" t="s">
        <v>19</v>
      </c>
      <c r="P13" s="3" t="s">
        <v>20</v>
      </c>
    </row>
    <row r="14" spans="2:16" x14ac:dyDescent="0.25">
      <c r="B14" s="20" t="s">
        <v>31</v>
      </c>
      <c r="C14" s="25">
        <v>10</v>
      </c>
      <c r="D14" s="25">
        <f t="shared" ref="D14:N14" si="0">D10</f>
        <v>42</v>
      </c>
      <c r="E14" s="25">
        <f t="shared" si="0"/>
        <v>42</v>
      </c>
      <c r="F14" s="25">
        <f t="shared" si="0"/>
        <v>48</v>
      </c>
      <c r="G14" s="25">
        <f t="shared" si="0"/>
        <v>90</v>
      </c>
      <c r="H14" s="25">
        <f t="shared" si="0"/>
        <v>108</v>
      </c>
      <c r="I14" s="25">
        <f t="shared" si="0"/>
        <v>96</v>
      </c>
      <c r="J14" s="25">
        <f t="shared" si="0"/>
        <v>60</v>
      </c>
      <c r="K14" s="25">
        <f t="shared" si="0"/>
        <v>54</v>
      </c>
      <c r="L14" s="25">
        <f t="shared" si="0"/>
        <v>48</v>
      </c>
      <c r="M14" s="25">
        <f t="shared" si="0"/>
        <v>42</v>
      </c>
      <c r="N14" s="26">
        <f t="shared" si="0"/>
        <v>48</v>
      </c>
      <c r="O14" s="3">
        <v>8</v>
      </c>
      <c r="P14" s="3">
        <v>10</v>
      </c>
    </row>
    <row r="15" spans="2:16" x14ac:dyDescent="0.25">
      <c r="B15" s="20" t="s">
        <v>30</v>
      </c>
      <c r="C15" s="25">
        <v>0</v>
      </c>
      <c r="D15" s="25">
        <f t="shared" ref="D15:N15" si="1">D11</f>
        <v>35</v>
      </c>
      <c r="E15" s="25">
        <f t="shared" si="1"/>
        <v>42</v>
      </c>
      <c r="F15" s="25">
        <f t="shared" si="1"/>
        <v>70</v>
      </c>
      <c r="G15" s="25">
        <f t="shared" si="1"/>
        <v>126</v>
      </c>
      <c r="H15" s="25">
        <f t="shared" si="1"/>
        <v>140</v>
      </c>
      <c r="I15" s="25">
        <f t="shared" si="1"/>
        <v>126</v>
      </c>
      <c r="J15" s="25">
        <f t="shared" si="1"/>
        <v>70</v>
      </c>
      <c r="K15" s="25">
        <f t="shared" si="1"/>
        <v>56</v>
      </c>
      <c r="L15" s="25">
        <f t="shared" si="1"/>
        <v>42</v>
      </c>
      <c r="M15" s="25">
        <v>35</v>
      </c>
      <c r="N15" s="26">
        <f t="shared" si="1"/>
        <v>70</v>
      </c>
      <c r="O15" s="3">
        <v>12</v>
      </c>
      <c r="P15" s="3">
        <v>14</v>
      </c>
    </row>
    <row r="16" spans="2:16" x14ac:dyDescent="0.25">
      <c r="B16" s="20" t="s">
        <v>29</v>
      </c>
      <c r="C16" s="25">
        <v>0</v>
      </c>
      <c r="D16" s="25">
        <f t="shared" ref="D16:N16" si="2">D12</f>
        <v>2</v>
      </c>
      <c r="E16" s="25">
        <f t="shared" si="2"/>
        <v>3</v>
      </c>
      <c r="F16" s="25">
        <f t="shared" si="2"/>
        <v>7</v>
      </c>
      <c r="G16" s="25">
        <f t="shared" si="2"/>
        <v>16</v>
      </c>
      <c r="H16" s="25">
        <f t="shared" si="2"/>
        <v>22</v>
      </c>
      <c r="I16" s="25">
        <f t="shared" si="2"/>
        <v>18</v>
      </c>
      <c r="J16" s="25">
        <f t="shared" si="2"/>
        <v>10</v>
      </c>
      <c r="K16" s="25">
        <f t="shared" si="2"/>
        <v>8</v>
      </c>
      <c r="L16" s="25">
        <f t="shared" si="2"/>
        <v>6</v>
      </c>
      <c r="M16" s="25">
        <f t="shared" si="2"/>
        <v>4</v>
      </c>
      <c r="N16" s="26">
        <f t="shared" si="2"/>
        <v>10</v>
      </c>
      <c r="O16" s="3">
        <v>28</v>
      </c>
      <c r="P16" s="3">
        <v>28</v>
      </c>
    </row>
    <row r="17" spans="2:14" x14ac:dyDescent="0.25">
      <c r="B17" s="17" t="s">
        <v>3</v>
      </c>
      <c r="C17" s="23"/>
      <c r="D17" s="23"/>
      <c r="E17" s="23"/>
      <c r="F17" s="23"/>
      <c r="G17" s="23"/>
      <c r="H17" s="23"/>
      <c r="I17" s="23"/>
      <c r="J17" s="23"/>
      <c r="K17" s="23"/>
      <c r="L17" s="23"/>
      <c r="M17" s="23"/>
      <c r="N17" s="24"/>
    </row>
    <row r="18" spans="2:14" x14ac:dyDescent="0.25">
      <c r="B18" s="20" t="s">
        <v>17</v>
      </c>
      <c r="C18" s="25">
        <f>(C14*$O$14)+(C15*$O$15)+(C16*$O$16)</f>
        <v>80</v>
      </c>
      <c r="D18" s="25">
        <f t="shared" ref="D18:N18" si="3">(D14*$O$14)+(D15*$O$15)+(D16*$O$16)</f>
        <v>812</v>
      </c>
      <c r="E18" s="25">
        <f t="shared" si="3"/>
        <v>924</v>
      </c>
      <c r="F18" s="25">
        <f t="shared" si="3"/>
        <v>1420</v>
      </c>
      <c r="G18" s="25">
        <f t="shared" si="3"/>
        <v>2680</v>
      </c>
      <c r="H18" s="25">
        <f t="shared" si="3"/>
        <v>3160</v>
      </c>
      <c r="I18" s="25">
        <f t="shared" si="3"/>
        <v>2784</v>
      </c>
      <c r="J18" s="25">
        <f t="shared" si="3"/>
        <v>1600</v>
      </c>
      <c r="K18" s="25">
        <f t="shared" si="3"/>
        <v>1328</v>
      </c>
      <c r="L18" s="25">
        <f t="shared" si="3"/>
        <v>1056</v>
      </c>
      <c r="M18" s="25">
        <f t="shared" si="3"/>
        <v>868</v>
      </c>
      <c r="N18" s="26">
        <f t="shared" si="3"/>
        <v>1504</v>
      </c>
    </row>
    <row r="19" spans="2:14" x14ac:dyDescent="0.25">
      <c r="B19" s="20" t="s">
        <v>18</v>
      </c>
      <c r="C19" s="25">
        <f>(C14*$P$14)+(C15*$P$15)+(C16*$P$16)</f>
        <v>100</v>
      </c>
      <c r="D19" s="25">
        <f t="shared" ref="D19:N19" si="4">(D14*$P$14)+(D15*$P$15)+(D16*$P$16)</f>
        <v>966</v>
      </c>
      <c r="E19" s="25">
        <f t="shared" si="4"/>
        <v>1092</v>
      </c>
      <c r="F19" s="25">
        <f t="shared" si="4"/>
        <v>1656</v>
      </c>
      <c r="G19" s="25">
        <f t="shared" si="4"/>
        <v>3112</v>
      </c>
      <c r="H19" s="25">
        <f t="shared" si="4"/>
        <v>3656</v>
      </c>
      <c r="I19" s="25">
        <f t="shared" si="4"/>
        <v>3228</v>
      </c>
      <c r="J19" s="25">
        <f t="shared" si="4"/>
        <v>1860</v>
      </c>
      <c r="K19" s="25">
        <f t="shared" si="4"/>
        <v>1548</v>
      </c>
      <c r="L19" s="25">
        <f t="shared" si="4"/>
        <v>1236</v>
      </c>
      <c r="M19" s="25">
        <f t="shared" si="4"/>
        <v>1022</v>
      </c>
      <c r="N19" s="26">
        <f t="shared" si="4"/>
        <v>1740</v>
      </c>
    </row>
    <row r="20" spans="2:14" x14ac:dyDescent="0.25">
      <c r="B20" s="6" t="s">
        <v>21</v>
      </c>
      <c r="C20" s="25">
        <f>INT(C18/200) +1</f>
        <v>1</v>
      </c>
      <c r="D20" s="25">
        <f t="shared" ref="D20:N20" si="5">INT(D18/200) +1</f>
        <v>5</v>
      </c>
      <c r="E20" s="25">
        <f t="shared" si="5"/>
        <v>5</v>
      </c>
      <c r="F20" s="25">
        <f t="shared" si="5"/>
        <v>8</v>
      </c>
      <c r="G20" s="25">
        <f t="shared" si="5"/>
        <v>14</v>
      </c>
      <c r="H20" s="25">
        <f t="shared" si="5"/>
        <v>16</v>
      </c>
      <c r="I20" s="25">
        <f t="shared" si="5"/>
        <v>14</v>
      </c>
      <c r="J20" s="25">
        <f t="shared" si="5"/>
        <v>9</v>
      </c>
      <c r="K20" s="25">
        <f t="shared" si="5"/>
        <v>7</v>
      </c>
      <c r="L20" s="25">
        <f t="shared" si="5"/>
        <v>6</v>
      </c>
      <c r="M20" s="25">
        <f t="shared" si="5"/>
        <v>5</v>
      </c>
      <c r="N20" s="26">
        <f t="shared" si="5"/>
        <v>8</v>
      </c>
    </row>
    <row r="21" spans="2:14" x14ac:dyDescent="0.25">
      <c r="B21" s="6" t="s">
        <v>22</v>
      </c>
      <c r="C21" s="25">
        <f>INT(C19/200) +1</f>
        <v>1</v>
      </c>
      <c r="D21" s="25">
        <f t="shared" ref="D21:N21" si="6">INT(D19/200) +1</f>
        <v>5</v>
      </c>
      <c r="E21" s="25">
        <f t="shared" si="6"/>
        <v>6</v>
      </c>
      <c r="F21" s="25">
        <f t="shared" si="6"/>
        <v>9</v>
      </c>
      <c r="G21" s="25">
        <f t="shared" si="6"/>
        <v>16</v>
      </c>
      <c r="H21" s="25">
        <f t="shared" si="6"/>
        <v>19</v>
      </c>
      <c r="I21" s="25">
        <f t="shared" si="6"/>
        <v>17</v>
      </c>
      <c r="J21" s="25">
        <f t="shared" si="6"/>
        <v>10</v>
      </c>
      <c r="K21" s="25">
        <f t="shared" si="6"/>
        <v>8</v>
      </c>
      <c r="L21" s="25">
        <f t="shared" si="6"/>
        <v>7</v>
      </c>
      <c r="M21" s="25">
        <f t="shared" si="6"/>
        <v>6</v>
      </c>
      <c r="N21" s="26">
        <f t="shared" si="6"/>
        <v>9</v>
      </c>
    </row>
    <row r="22" spans="2:14" x14ac:dyDescent="0.25">
      <c r="B22" s="6"/>
      <c r="C22" s="25"/>
      <c r="D22" s="25"/>
      <c r="E22" s="25"/>
      <c r="F22" s="25"/>
      <c r="G22" s="25"/>
      <c r="H22" s="25"/>
      <c r="I22" s="25"/>
      <c r="J22" s="25"/>
      <c r="K22" s="25"/>
      <c r="L22" s="25"/>
      <c r="M22" s="25"/>
      <c r="N22" s="26"/>
    </row>
    <row r="23" spans="2:14" x14ac:dyDescent="0.25">
      <c r="B23" s="6" t="s">
        <v>23</v>
      </c>
      <c r="C23" s="25">
        <v>5</v>
      </c>
      <c r="D23" s="25">
        <f>C23</f>
        <v>5</v>
      </c>
      <c r="E23" s="25">
        <f t="shared" ref="E23:N23" si="7">D23</f>
        <v>5</v>
      </c>
      <c r="F23" s="25">
        <f t="shared" si="7"/>
        <v>5</v>
      </c>
      <c r="G23" s="25">
        <f t="shared" si="7"/>
        <v>5</v>
      </c>
      <c r="H23" s="25">
        <f t="shared" si="7"/>
        <v>5</v>
      </c>
      <c r="I23" s="25">
        <f t="shared" si="7"/>
        <v>5</v>
      </c>
      <c r="J23" s="25">
        <f t="shared" si="7"/>
        <v>5</v>
      </c>
      <c r="K23" s="25">
        <f t="shared" si="7"/>
        <v>5</v>
      </c>
      <c r="L23" s="25">
        <f t="shared" si="7"/>
        <v>5</v>
      </c>
      <c r="M23" s="25">
        <f t="shared" si="7"/>
        <v>5</v>
      </c>
      <c r="N23" s="26">
        <f t="shared" si="7"/>
        <v>5</v>
      </c>
    </row>
    <row r="24" spans="2:14" ht="15.75" thickBot="1" x14ac:dyDescent="0.3">
      <c r="B24" s="7" t="s">
        <v>28</v>
      </c>
      <c r="C24" s="28">
        <v>6</v>
      </c>
      <c r="D24" s="28">
        <f>C24</f>
        <v>6</v>
      </c>
      <c r="E24" s="28">
        <f t="shared" ref="E24:N24" si="8">D24</f>
        <v>6</v>
      </c>
      <c r="F24" s="28">
        <f t="shared" si="8"/>
        <v>6</v>
      </c>
      <c r="G24" s="28">
        <f t="shared" si="8"/>
        <v>6</v>
      </c>
      <c r="H24" s="28">
        <f t="shared" si="8"/>
        <v>6</v>
      </c>
      <c r="I24" s="28">
        <f t="shared" si="8"/>
        <v>6</v>
      </c>
      <c r="J24" s="28">
        <f t="shared" si="8"/>
        <v>6</v>
      </c>
      <c r="K24" s="28">
        <f t="shared" si="8"/>
        <v>6</v>
      </c>
      <c r="L24" s="28">
        <f t="shared" si="8"/>
        <v>6</v>
      </c>
      <c r="M24" s="28">
        <f t="shared" si="8"/>
        <v>6</v>
      </c>
      <c r="N24" s="29">
        <f t="shared" si="8"/>
        <v>6</v>
      </c>
    </row>
    <row r="25" spans="2:14" ht="15.75" thickTop="1" x14ac:dyDescent="0.25"/>
  </sheetData>
  <sheetProtection sheet="1" objects="1" scenarios="1"/>
  <mergeCells count="1">
    <mergeCell ref="B1:N1"/>
  </mergeCells>
  <conditionalFormatting sqref="C20:N20">
    <cfRule type="cellIs" dxfId="9" priority="3" operator="greaterThan">
      <formula>$C$23</formula>
    </cfRule>
    <cfRule type="cellIs" dxfId="8" priority="2" operator="greaterThan">
      <formula>C23</formula>
    </cfRule>
  </conditionalFormatting>
  <conditionalFormatting sqref="C21:N21">
    <cfRule type="cellIs" dxfId="7" priority="1" operator="greaterThan">
      <formula>C24</formula>
    </cfRule>
  </conditionalFormatting>
  <printOptions horizontalCentered="1" verticalCentered="1"/>
  <pageMargins left="0" right="0" top="0.74803149606299213" bottom="0.74803149606299213" header="0.31496062992125984" footer="0.31496062992125984"/>
  <pageSetup paperSize="9" scale="85" orientation="landscape" verticalDpi="0" r:id="rId1"/>
  <drawing r:id="rId2"/>
</worksheet>
</file>

<file path=xl/worksheets/sheet2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100-000000000000}">
  <sheetPr>
    <tabColor rgb="FFFF0000"/>
  </sheetPr>
  <dimension ref="B1:P28"/>
  <sheetViews>
    <sheetView showGridLines="0" zoomScale="130" zoomScaleNormal="130" workbookViewId="0">
      <selection activeCell="J12" sqref="J12"/>
    </sheetView>
  </sheetViews>
  <sheetFormatPr baseColWidth="10" defaultRowHeight="15" x14ac:dyDescent="0.25"/>
  <cols>
    <col min="1" max="1" width="5.28515625" customWidth="1"/>
    <col min="2" max="2" width="22.7109375" customWidth="1"/>
    <col min="15" max="15" width="7" customWidth="1"/>
    <col min="16" max="16" width="5.140625" customWidth="1"/>
  </cols>
  <sheetData>
    <row r="1" spans="2:16" ht="23.25" x14ac:dyDescent="0.35">
      <c r="B1" s="46" t="s">
        <v>25</v>
      </c>
      <c r="C1" s="46"/>
      <c r="D1" s="46"/>
      <c r="E1" s="46"/>
      <c r="F1" s="46"/>
      <c r="G1" s="46"/>
      <c r="H1" s="46"/>
      <c r="I1" s="46"/>
      <c r="J1" s="46"/>
      <c r="K1" s="46"/>
      <c r="L1" s="46"/>
      <c r="M1" s="46"/>
      <c r="N1" s="46"/>
    </row>
    <row r="7" spans="2:16" ht="15.75" thickBot="1" x14ac:dyDescent="0.3"/>
    <row r="8" spans="2:16" ht="16.5" thickTop="1" thickBot="1" x14ac:dyDescent="0.3">
      <c r="B8" s="13" t="s">
        <v>1</v>
      </c>
      <c r="C8" s="14" t="s">
        <v>4</v>
      </c>
      <c r="D8" s="14" t="s">
        <v>5</v>
      </c>
      <c r="E8" s="14" t="s">
        <v>6</v>
      </c>
      <c r="F8" s="14" t="s">
        <v>7</v>
      </c>
      <c r="G8" s="14" t="s">
        <v>8</v>
      </c>
      <c r="H8" s="14" t="s">
        <v>9</v>
      </c>
      <c r="I8" s="14" t="s">
        <v>10</v>
      </c>
      <c r="J8" s="14" t="s">
        <v>11</v>
      </c>
      <c r="K8" s="14" t="s">
        <v>12</v>
      </c>
      <c r="L8" s="14" t="s">
        <v>13</v>
      </c>
      <c r="M8" s="14" t="s">
        <v>14</v>
      </c>
      <c r="N8" s="15" t="s">
        <v>15</v>
      </c>
      <c r="O8" s="4" t="s">
        <v>24</v>
      </c>
    </row>
    <row r="9" spans="2:16" ht="15.75" thickTop="1" x14ac:dyDescent="0.25">
      <c r="B9" s="16" t="s">
        <v>0</v>
      </c>
      <c r="C9" s="18"/>
      <c r="D9" s="18"/>
      <c r="E9" s="18"/>
      <c r="F9" s="18"/>
      <c r="G9" s="18"/>
      <c r="H9" s="18"/>
      <c r="I9" s="18"/>
      <c r="J9" s="18"/>
      <c r="K9" s="18"/>
      <c r="L9" s="18"/>
      <c r="M9" s="18"/>
      <c r="N9" s="19"/>
      <c r="O9" s="3"/>
    </row>
    <row r="10" spans="2:16" x14ac:dyDescent="0.25">
      <c r="B10" s="20" t="s">
        <v>31</v>
      </c>
      <c r="C10" s="21">
        <v>42</v>
      </c>
      <c r="D10" s="21">
        <v>42</v>
      </c>
      <c r="E10" s="21">
        <v>42</v>
      </c>
      <c r="F10" s="21">
        <v>48</v>
      </c>
      <c r="G10" s="21">
        <v>90</v>
      </c>
      <c r="H10" s="21">
        <v>108</v>
      </c>
      <c r="I10" s="21">
        <v>96</v>
      </c>
      <c r="J10" s="21">
        <v>60</v>
      </c>
      <c r="K10" s="21">
        <v>54</v>
      </c>
      <c r="L10" s="21">
        <v>48</v>
      </c>
      <c r="M10" s="21">
        <v>42</v>
      </c>
      <c r="N10" s="22">
        <v>48</v>
      </c>
      <c r="O10" s="4">
        <f>AVERAGE(C10:N10)</f>
        <v>60</v>
      </c>
    </row>
    <row r="11" spans="2:16" x14ac:dyDescent="0.25">
      <c r="B11" s="20" t="s">
        <v>30</v>
      </c>
      <c r="C11" s="21">
        <v>35</v>
      </c>
      <c r="D11" s="21">
        <v>35</v>
      </c>
      <c r="E11" s="21">
        <v>42</v>
      </c>
      <c r="F11" s="21">
        <v>70</v>
      </c>
      <c r="G11" s="21">
        <v>126</v>
      </c>
      <c r="H11" s="21">
        <v>140</v>
      </c>
      <c r="I11" s="21">
        <v>126</v>
      </c>
      <c r="J11" s="21">
        <v>70</v>
      </c>
      <c r="K11" s="21">
        <v>56</v>
      </c>
      <c r="L11" s="21">
        <v>42</v>
      </c>
      <c r="M11" s="21">
        <v>28</v>
      </c>
      <c r="N11" s="22">
        <v>70</v>
      </c>
      <c r="O11" s="4">
        <f t="shared" ref="O11:O12" si="0">AVERAGE(C11:N11)</f>
        <v>70</v>
      </c>
    </row>
    <row r="12" spans="2:16" x14ac:dyDescent="0.25">
      <c r="B12" s="20" t="s">
        <v>29</v>
      </c>
      <c r="C12" s="21">
        <v>4</v>
      </c>
      <c r="D12" s="21">
        <v>2</v>
      </c>
      <c r="E12" s="21">
        <v>3</v>
      </c>
      <c r="F12" s="21">
        <v>7</v>
      </c>
      <c r="G12" s="21">
        <v>16</v>
      </c>
      <c r="H12" s="21">
        <v>22</v>
      </c>
      <c r="I12" s="21">
        <v>18</v>
      </c>
      <c r="J12" s="21">
        <v>10</v>
      </c>
      <c r="K12" s="21">
        <v>8</v>
      </c>
      <c r="L12" s="21">
        <v>6</v>
      </c>
      <c r="M12" s="21">
        <v>4</v>
      </c>
      <c r="N12" s="22">
        <v>10</v>
      </c>
      <c r="O12" s="5">
        <f t="shared" si="0"/>
        <v>9.1666666666666661</v>
      </c>
    </row>
    <row r="13" spans="2:16" x14ac:dyDescent="0.25">
      <c r="B13" s="17" t="s">
        <v>2</v>
      </c>
      <c r="C13" s="23"/>
      <c r="D13" s="23"/>
      <c r="E13" s="23"/>
      <c r="F13" s="23"/>
      <c r="G13" s="23"/>
      <c r="H13" s="23"/>
      <c r="I13" s="23"/>
      <c r="J13" s="23"/>
      <c r="K13" s="23"/>
      <c r="L13" s="23"/>
      <c r="M13" s="23"/>
      <c r="N13" s="24"/>
      <c r="O13" s="3" t="s">
        <v>19</v>
      </c>
      <c r="P13" s="3" t="s">
        <v>20</v>
      </c>
    </row>
    <row r="14" spans="2:16" x14ac:dyDescent="0.25">
      <c r="B14" s="20" t="s">
        <v>31</v>
      </c>
      <c r="C14" s="25">
        <v>38</v>
      </c>
      <c r="D14" s="25">
        <f>C14</f>
        <v>38</v>
      </c>
      <c r="E14" s="25">
        <f t="shared" ref="E14:N14" si="1">D14</f>
        <v>38</v>
      </c>
      <c r="F14" s="25">
        <f t="shared" si="1"/>
        <v>38</v>
      </c>
      <c r="G14" s="25">
        <f t="shared" si="1"/>
        <v>38</v>
      </c>
      <c r="H14" s="25">
        <f t="shared" si="1"/>
        <v>38</v>
      </c>
      <c r="I14" s="25">
        <f t="shared" si="1"/>
        <v>38</v>
      </c>
      <c r="J14" s="25">
        <f t="shared" si="1"/>
        <v>38</v>
      </c>
      <c r="K14" s="25">
        <f t="shared" si="1"/>
        <v>38</v>
      </c>
      <c r="L14" s="25">
        <f t="shared" si="1"/>
        <v>38</v>
      </c>
      <c r="M14" s="25">
        <f t="shared" si="1"/>
        <v>38</v>
      </c>
      <c r="N14" s="26">
        <f t="shared" si="1"/>
        <v>38</v>
      </c>
      <c r="O14" s="3">
        <v>8</v>
      </c>
      <c r="P14" s="3">
        <v>10</v>
      </c>
    </row>
    <row r="15" spans="2:16" x14ac:dyDescent="0.25">
      <c r="B15" s="20" t="s">
        <v>30</v>
      </c>
      <c r="C15" s="25">
        <v>44</v>
      </c>
      <c r="D15" s="25">
        <f>C15</f>
        <v>44</v>
      </c>
      <c r="E15" s="25">
        <f t="shared" ref="E15:N15" si="2">D15</f>
        <v>44</v>
      </c>
      <c r="F15" s="25">
        <f t="shared" si="2"/>
        <v>44</v>
      </c>
      <c r="G15" s="25">
        <f t="shared" si="2"/>
        <v>44</v>
      </c>
      <c r="H15" s="25">
        <f t="shared" si="2"/>
        <v>44</v>
      </c>
      <c r="I15" s="25">
        <f t="shared" si="2"/>
        <v>44</v>
      </c>
      <c r="J15" s="25">
        <f t="shared" si="2"/>
        <v>44</v>
      </c>
      <c r="K15" s="25">
        <f t="shared" si="2"/>
        <v>44</v>
      </c>
      <c r="L15" s="25">
        <f t="shared" si="2"/>
        <v>44</v>
      </c>
      <c r="M15" s="25">
        <f t="shared" si="2"/>
        <v>44</v>
      </c>
      <c r="N15" s="26">
        <f t="shared" si="2"/>
        <v>44</v>
      </c>
      <c r="O15" s="3">
        <v>12</v>
      </c>
      <c r="P15" s="3">
        <v>14</v>
      </c>
    </row>
    <row r="16" spans="2:16" x14ac:dyDescent="0.25">
      <c r="B16" s="20" t="s">
        <v>29</v>
      </c>
      <c r="C16" s="25">
        <v>6</v>
      </c>
      <c r="D16" s="25">
        <f>C16</f>
        <v>6</v>
      </c>
      <c r="E16" s="25">
        <f t="shared" ref="E16:N16" si="3">D16</f>
        <v>6</v>
      </c>
      <c r="F16" s="25">
        <f t="shared" si="3"/>
        <v>6</v>
      </c>
      <c r="G16" s="25">
        <f t="shared" si="3"/>
        <v>6</v>
      </c>
      <c r="H16" s="25">
        <f t="shared" si="3"/>
        <v>6</v>
      </c>
      <c r="I16" s="25">
        <f t="shared" si="3"/>
        <v>6</v>
      </c>
      <c r="J16" s="25">
        <f t="shared" si="3"/>
        <v>6</v>
      </c>
      <c r="K16" s="25">
        <f t="shared" si="3"/>
        <v>6</v>
      </c>
      <c r="L16" s="25">
        <f t="shared" si="3"/>
        <v>6</v>
      </c>
      <c r="M16" s="25">
        <f t="shared" si="3"/>
        <v>6</v>
      </c>
      <c r="N16" s="26">
        <f t="shared" si="3"/>
        <v>6</v>
      </c>
      <c r="O16" s="3">
        <v>28</v>
      </c>
      <c r="P16" s="3">
        <v>28</v>
      </c>
    </row>
    <row r="17" spans="2:16" x14ac:dyDescent="0.25">
      <c r="B17" s="17" t="s">
        <v>32</v>
      </c>
      <c r="C17" s="30"/>
      <c r="D17" s="30"/>
      <c r="E17" s="30"/>
      <c r="F17" s="30"/>
      <c r="G17" s="30"/>
      <c r="H17" s="30"/>
      <c r="I17" s="30"/>
      <c r="J17" s="30"/>
      <c r="K17" s="30"/>
      <c r="L17" s="30"/>
      <c r="M17" s="30"/>
      <c r="N17" s="31"/>
      <c r="O17" s="3"/>
      <c r="P17" s="3"/>
    </row>
    <row r="18" spans="2:16" x14ac:dyDescent="0.25">
      <c r="B18" s="20" t="s">
        <v>31</v>
      </c>
      <c r="C18" s="25">
        <f>C14-C10+32</f>
        <v>28</v>
      </c>
      <c r="D18" s="25">
        <f>IF(D14-D10+C18&gt;0,D14-D10+C18,0)</f>
        <v>24</v>
      </c>
      <c r="E18" s="25">
        <f t="shared" ref="E18:N18" si="4">IF(E14-E10+D18&gt;0,E14-E10+D18,0)</f>
        <v>20</v>
      </c>
      <c r="F18" s="25">
        <f t="shared" si="4"/>
        <v>10</v>
      </c>
      <c r="G18" s="25">
        <f t="shared" si="4"/>
        <v>0</v>
      </c>
      <c r="H18" s="25">
        <f t="shared" si="4"/>
        <v>0</v>
      </c>
      <c r="I18" s="25">
        <f t="shared" si="4"/>
        <v>0</v>
      </c>
      <c r="J18" s="25">
        <f t="shared" si="4"/>
        <v>0</v>
      </c>
      <c r="K18" s="25">
        <f t="shared" si="4"/>
        <v>0</v>
      </c>
      <c r="L18" s="25">
        <f t="shared" si="4"/>
        <v>0</v>
      </c>
      <c r="M18" s="25">
        <f t="shared" si="4"/>
        <v>0</v>
      </c>
      <c r="N18" s="26">
        <f t="shared" si="4"/>
        <v>0</v>
      </c>
      <c r="O18" s="3"/>
      <c r="P18" s="3"/>
    </row>
    <row r="19" spans="2:16" x14ac:dyDescent="0.25">
      <c r="B19" s="20" t="s">
        <v>30</v>
      </c>
      <c r="C19" s="25">
        <f>C15-C11+37</f>
        <v>46</v>
      </c>
      <c r="D19" s="25">
        <f t="shared" ref="D19:N20" si="5">IF(D15-D11+C19&gt;0,D15-D11+C19,0)</f>
        <v>55</v>
      </c>
      <c r="E19" s="25">
        <f t="shared" si="5"/>
        <v>57</v>
      </c>
      <c r="F19" s="25">
        <f t="shared" si="5"/>
        <v>31</v>
      </c>
      <c r="G19" s="25">
        <f t="shared" si="5"/>
        <v>0</v>
      </c>
      <c r="H19" s="25">
        <f t="shared" si="5"/>
        <v>0</v>
      </c>
      <c r="I19" s="25">
        <f t="shared" si="5"/>
        <v>0</v>
      </c>
      <c r="J19" s="25">
        <f t="shared" si="5"/>
        <v>0</v>
      </c>
      <c r="K19" s="25">
        <f t="shared" si="5"/>
        <v>0</v>
      </c>
      <c r="L19" s="25">
        <f t="shared" si="5"/>
        <v>2</v>
      </c>
      <c r="M19" s="25">
        <f t="shared" si="5"/>
        <v>18</v>
      </c>
      <c r="N19" s="26">
        <f t="shared" si="5"/>
        <v>0</v>
      </c>
      <c r="O19" s="3"/>
      <c r="P19" s="3"/>
    </row>
    <row r="20" spans="2:16" x14ac:dyDescent="0.25">
      <c r="B20" s="20" t="s">
        <v>29</v>
      </c>
      <c r="C20" s="25">
        <f>C16-C12+4</f>
        <v>6</v>
      </c>
      <c r="D20" s="25">
        <f t="shared" si="5"/>
        <v>10</v>
      </c>
      <c r="E20" s="25">
        <f t="shared" si="5"/>
        <v>13</v>
      </c>
      <c r="F20" s="25">
        <f t="shared" si="5"/>
        <v>12</v>
      </c>
      <c r="G20" s="25">
        <f t="shared" si="5"/>
        <v>2</v>
      </c>
      <c r="H20" s="25">
        <f t="shared" si="5"/>
        <v>0</v>
      </c>
      <c r="I20" s="25">
        <f t="shared" si="5"/>
        <v>0</v>
      </c>
      <c r="J20" s="25">
        <f t="shared" si="5"/>
        <v>0</v>
      </c>
      <c r="K20" s="25">
        <f t="shared" si="5"/>
        <v>0</v>
      </c>
      <c r="L20" s="25">
        <f t="shared" si="5"/>
        <v>0</v>
      </c>
      <c r="M20" s="25">
        <f t="shared" si="5"/>
        <v>2</v>
      </c>
      <c r="N20" s="26">
        <f t="shared" si="5"/>
        <v>0</v>
      </c>
      <c r="O20" s="3"/>
      <c r="P20" s="3"/>
    </row>
    <row r="21" spans="2:16" x14ac:dyDescent="0.25">
      <c r="B21" s="17" t="s">
        <v>3</v>
      </c>
      <c r="C21" s="23"/>
      <c r="D21" s="23"/>
      <c r="E21" s="23"/>
      <c r="F21" s="23"/>
      <c r="G21" s="23"/>
      <c r="H21" s="23"/>
      <c r="I21" s="23"/>
      <c r="J21" s="23"/>
      <c r="K21" s="23"/>
      <c r="L21" s="23"/>
      <c r="M21" s="23"/>
      <c r="N21" s="24"/>
    </row>
    <row r="22" spans="2:16" x14ac:dyDescent="0.25">
      <c r="B22" s="20" t="s">
        <v>27</v>
      </c>
      <c r="C22" s="25">
        <f t="shared" ref="C22:D22" si="6">(C14*$O$14)+(C15*$O$15)+(C16*$O$16)</f>
        <v>1000</v>
      </c>
      <c r="D22" s="25">
        <f t="shared" si="6"/>
        <v>1000</v>
      </c>
      <c r="E22" s="25">
        <f t="shared" ref="E22:N22" si="7">(E14*$O$14)+(E15*$O$15)+(E16*$O$16)</f>
        <v>1000</v>
      </c>
      <c r="F22" s="25">
        <f t="shared" si="7"/>
        <v>1000</v>
      </c>
      <c r="G22" s="25">
        <f t="shared" si="7"/>
        <v>1000</v>
      </c>
      <c r="H22" s="25">
        <f t="shared" si="7"/>
        <v>1000</v>
      </c>
      <c r="I22" s="25">
        <f t="shared" si="7"/>
        <v>1000</v>
      </c>
      <c r="J22" s="25">
        <f t="shared" si="7"/>
        <v>1000</v>
      </c>
      <c r="K22" s="25">
        <f t="shared" si="7"/>
        <v>1000</v>
      </c>
      <c r="L22" s="25">
        <f t="shared" si="7"/>
        <v>1000</v>
      </c>
      <c r="M22" s="25">
        <f t="shared" si="7"/>
        <v>1000</v>
      </c>
      <c r="N22" s="26">
        <f t="shared" si="7"/>
        <v>1000</v>
      </c>
    </row>
    <row r="23" spans="2:16" ht="15.75" thickBot="1" x14ac:dyDescent="0.3">
      <c r="B23" s="27" t="s">
        <v>18</v>
      </c>
      <c r="C23" s="28">
        <f>(C14*$P$14)+(C15*$P$15)+(C16*$P$16)</f>
        <v>1164</v>
      </c>
      <c r="D23" s="28">
        <f t="shared" ref="D23" si="8">(D14*$P$14)+(D15*$P$15)+(D16*$P$16)</f>
        <v>1164</v>
      </c>
      <c r="E23" s="28">
        <f t="shared" ref="E23:N23" si="9">(E14*$P$14)+(E15*$P$15)+(E16*$P$16)</f>
        <v>1164</v>
      </c>
      <c r="F23" s="28">
        <f t="shared" si="9"/>
        <v>1164</v>
      </c>
      <c r="G23" s="28">
        <f t="shared" si="9"/>
        <v>1164</v>
      </c>
      <c r="H23" s="28">
        <f t="shared" si="9"/>
        <v>1164</v>
      </c>
      <c r="I23" s="28">
        <f t="shared" si="9"/>
        <v>1164</v>
      </c>
      <c r="J23" s="28">
        <f t="shared" si="9"/>
        <v>1164</v>
      </c>
      <c r="K23" s="28">
        <f t="shared" si="9"/>
        <v>1164</v>
      </c>
      <c r="L23" s="28">
        <f t="shared" si="9"/>
        <v>1164</v>
      </c>
      <c r="M23" s="28">
        <f t="shared" si="9"/>
        <v>1164</v>
      </c>
      <c r="N23" s="29">
        <f t="shared" si="9"/>
        <v>1164</v>
      </c>
    </row>
    <row r="24" spans="2:16" ht="15.75" thickTop="1" x14ac:dyDescent="0.25">
      <c r="B24" s="1"/>
      <c r="C24" s="2"/>
      <c r="D24" s="2"/>
      <c r="E24" s="2"/>
      <c r="F24" s="2"/>
      <c r="G24" s="2"/>
      <c r="H24" s="2"/>
      <c r="I24" s="2"/>
      <c r="J24" s="2"/>
      <c r="K24" s="2"/>
      <c r="L24" s="2"/>
      <c r="M24" s="2"/>
      <c r="N24" s="2"/>
    </row>
    <row r="25" spans="2:16" x14ac:dyDescent="0.25">
      <c r="B25" s="1"/>
      <c r="C25" s="2"/>
      <c r="D25" s="2"/>
      <c r="E25" s="2"/>
      <c r="F25" s="2"/>
      <c r="G25" s="2"/>
      <c r="H25" s="2"/>
      <c r="I25" s="2"/>
      <c r="J25" s="2"/>
      <c r="K25" s="2"/>
      <c r="L25" s="2"/>
      <c r="M25" s="2"/>
      <c r="N25" s="2"/>
    </row>
    <row r="26" spans="2:16" x14ac:dyDescent="0.25">
      <c r="C26" s="2"/>
      <c r="D26" s="2"/>
      <c r="E26" s="2"/>
      <c r="F26" s="2"/>
      <c r="G26" s="2"/>
      <c r="H26" s="2"/>
      <c r="I26" s="2"/>
      <c r="J26" s="2"/>
      <c r="K26" s="2"/>
      <c r="L26" s="2"/>
      <c r="M26" s="2"/>
      <c r="N26" s="2"/>
    </row>
    <row r="27" spans="2:16" x14ac:dyDescent="0.25">
      <c r="B27" s="1"/>
      <c r="C27" s="2"/>
      <c r="D27" s="2"/>
      <c r="E27" s="2"/>
      <c r="F27" s="2"/>
      <c r="G27" s="2"/>
      <c r="H27" s="2"/>
      <c r="I27" s="2"/>
      <c r="J27" s="2"/>
      <c r="K27" s="2"/>
      <c r="L27" s="2"/>
      <c r="M27" s="2"/>
      <c r="N27" s="2"/>
    </row>
    <row r="28" spans="2:16" x14ac:dyDescent="0.25">
      <c r="B28" s="1"/>
      <c r="C28" s="2"/>
      <c r="D28" s="2"/>
      <c r="E28" s="2"/>
      <c r="F28" s="2"/>
      <c r="G28" s="2"/>
      <c r="H28" s="2"/>
      <c r="I28" s="2"/>
      <c r="J28" s="2"/>
      <c r="K28" s="2"/>
      <c r="L28" s="2"/>
      <c r="M28" s="2"/>
      <c r="N28" s="2"/>
    </row>
  </sheetData>
  <sheetProtection sheet="1" objects="1" scenarios="1"/>
  <mergeCells count="1">
    <mergeCell ref="B1:N1"/>
  </mergeCells>
  <conditionalFormatting sqref="C24:N24">
    <cfRule type="cellIs" dxfId="6" priority="3" operator="greaterThan">
      <formula>C27</formula>
    </cfRule>
    <cfRule type="cellIs" dxfId="5" priority="4" operator="greaterThan">
      <formula>$C$27</formula>
    </cfRule>
  </conditionalFormatting>
  <conditionalFormatting sqref="C25:N25">
    <cfRule type="cellIs" dxfId="4" priority="2" operator="greaterThan">
      <formula>C28</formula>
    </cfRule>
  </conditionalFormatting>
  <conditionalFormatting sqref="C18:N18 D19:N20">
    <cfRule type="cellIs" dxfId="3" priority="1" operator="lessThan">
      <formula>1</formula>
    </cfRule>
  </conditionalFormatting>
  <printOptions horizontalCentered="1" verticalCentered="1"/>
  <pageMargins left="0" right="0" top="0.74803149606299213" bottom="0.74803149606299213" header="0.31496062992125984" footer="0.31496062992125984"/>
  <pageSetup paperSize="9" scale="85" orientation="landscape" verticalDpi="0" r:id="rId1"/>
  <drawing r:id="rId2"/>
</worksheet>
</file>

<file path=xl/worksheets/sheet3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200-000000000000}">
  <sheetPr>
    <tabColor theme="3" tint="0.39997558519241921"/>
  </sheetPr>
  <dimension ref="B1:P24"/>
  <sheetViews>
    <sheetView showGridLines="0" tabSelected="1" workbookViewId="0">
      <selection activeCell="Q11" sqref="Q11"/>
    </sheetView>
  </sheetViews>
  <sheetFormatPr baseColWidth="10" defaultRowHeight="15" x14ac:dyDescent="0.25"/>
  <cols>
    <col min="1" max="1" width="5.7109375" customWidth="1"/>
    <col min="2" max="2" width="23" customWidth="1"/>
    <col min="3" max="14" width="14" customWidth="1"/>
    <col min="15" max="15" width="4.85546875" customWidth="1"/>
    <col min="16" max="16" width="5.85546875" customWidth="1"/>
  </cols>
  <sheetData>
    <row r="1" spans="2:16" ht="23.25" x14ac:dyDescent="0.35">
      <c r="B1" s="46" t="s">
        <v>26</v>
      </c>
      <c r="C1" s="46"/>
      <c r="D1" s="46"/>
      <c r="E1" s="46"/>
      <c r="F1" s="46"/>
      <c r="G1" s="46"/>
      <c r="H1" s="46"/>
      <c r="I1" s="46"/>
      <c r="J1" s="46"/>
      <c r="K1" s="46"/>
      <c r="L1" s="46"/>
      <c r="M1" s="46"/>
      <c r="N1" s="46"/>
    </row>
    <row r="3" spans="2:16" ht="23.25" customHeight="1" x14ac:dyDescent="0.25"/>
    <row r="4" spans="2:16" ht="23.25" customHeight="1" x14ac:dyDescent="0.25"/>
    <row r="5" spans="2:16" ht="23.25" customHeight="1" x14ac:dyDescent="0.25"/>
    <row r="6" spans="2:16" ht="23.25" customHeight="1" x14ac:dyDescent="0.25"/>
    <row r="7" spans="2:16" ht="23.25" customHeight="1" thickBot="1" x14ac:dyDescent="0.3"/>
    <row r="8" spans="2:16" ht="23.25" customHeight="1" thickTop="1" thickBot="1" x14ac:dyDescent="0.4">
      <c r="B8" s="8" t="s">
        <v>1</v>
      </c>
      <c r="C8" s="9" t="s">
        <v>4</v>
      </c>
      <c r="D8" s="9" t="s">
        <v>5</v>
      </c>
      <c r="E8" s="9" t="s">
        <v>6</v>
      </c>
      <c r="F8" s="9" t="s">
        <v>7</v>
      </c>
      <c r="G8" s="9" t="s">
        <v>8</v>
      </c>
      <c r="H8" s="9" t="s">
        <v>9</v>
      </c>
      <c r="I8" s="9" t="s">
        <v>10</v>
      </c>
      <c r="J8" s="9" t="s">
        <v>11</v>
      </c>
      <c r="K8" s="9" t="s">
        <v>12</v>
      </c>
      <c r="L8" s="9" t="s">
        <v>13</v>
      </c>
      <c r="M8" s="9" t="s">
        <v>14</v>
      </c>
      <c r="N8" s="10" t="s">
        <v>15</v>
      </c>
      <c r="O8" s="4" t="s">
        <v>24</v>
      </c>
    </row>
    <row r="9" spans="2:16" ht="23.25" customHeight="1" thickTop="1" x14ac:dyDescent="0.35">
      <c r="B9" s="11" t="s">
        <v>0</v>
      </c>
      <c r="C9" s="32"/>
      <c r="D9" s="32"/>
      <c r="E9" s="32"/>
      <c r="F9" s="32"/>
      <c r="G9" s="32"/>
      <c r="H9" s="32"/>
      <c r="I9" s="32"/>
      <c r="J9" s="32"/>
      <c r="K9" s="32"/>
      <c r="L9" s="32"/>
      <c r="M9" s="32"/>
      <c r="N9" s="33"/>
      <c r="O9" s="3"/>
    </row>
    <row r="10" spans="2:16" ht="23.25" customHeight="1" x14ac:dyDescent="0.35">
      <c r="B10" s="34" t="s">
        <v>31</v>
      </c>
      <c r="C10" s="35">
        <v>42</v>
      </c>
      <c r="D10" s="35">
        <v>42</v>
      </c>
      <c r="E10" s="35">
        <v>42</v>
      </c>
      <c r="F10" s="35">
        <v>48</v>
      </c>
      <c r="G10" s="35">
        <v>90</v>
      </c>
      <c r="H10" s="35">
        <v>108</v>
      </c>
      <c r="I10" s="35">
        <v>96</v>
      </c>
      <c r="J10" s="35">
        <v>60</v>
      </c>
      <c r="K10" s="35">
        <v>54</v>
      </c>
      <c r="L10" s="35">
        <v>48</v>
      </c>
      <c r="M10" s="35">
        <v>42</v>
      </c>
      <c r="N10" s="36">
        <v>48</v>
      </c>
      <c r="O10" s="4">
        <f>AVERAGE(C10:N10)</f>
        <v>60</v>
      </c>
    </row>
    <row r="11" spans="2:16" ht="23.25" customHeight="1" x14ac:dyDescent="0.35">
      <c r="B11" s="34" t="s">
        <v>30</v>
      </c>
      <c r="C11" s="35">
        <v>35</v>
      </c>
      <c r="D11" s="35">
        <v>35</v>
      </c>
      <c r="E11" s="35">
        <v>42</v>
      </c>
      <c r="F11" s="35">
        <v>70</v>
      </c>
      <c r="G11" s="35">
        <v>126</v>
      </c>
      <c r="H11" s="35">
        <v>140</v>
      </c>
      <c r="I11" s="35">
        <v>126</v>
      </c>
      <c r="J11" s="35">
        <v>70</v>
      </c>
      <c r="K11" s="35">
        <v>56</v>
      </c>
      <c r="L11" s="35">
        <v>42</v>
      </c>
      <c r="M11" s="35">
        <v>28</v>
      </c>
      <c r="N11" s="36">
        <v>70</v>
      </c>
      <c r="O11" s="4">
        <f t="shared" ref="O11:O12" si="0">AVERAGE(C11:N11)</f>
        <v>70</v>
      </c>
    </row>
    <row r="12" spans="2:16" ht="23.25" customHeight="1" x14ac:dyDescent="0.35">
      <c r="B12" s="34" t="s">
        <v>29</v>
      </c>
      <c r="C12" s="35">
        <v>4</v>
      </c>
      <c r="D12" s="35">
        <v>2</v>
      </c>
      <c r="E12" s="35">
        <v>3</v>
      </c>
      <c r="F12" s="35">
        <v>7</v>
      </c>
      <c r="G12" s="35">
        <v>16</v>
      </c>
      <c r="H12" s="35">
        <v>22</v>
      </c>
      <c r="I12" s="35">
        <v>18</v>
      </c>
      <c r="J12" s="35">
        <v>10</v>
      </c>
      <c r="K12" s="35">
        <v>8</v>
      </c>
      <c r="L12" s="35">
        <v>6</v>
      </c>
      <c r="M12" s="35">
        <v>4</v>
      </c>
      <c r="N12" s="36">
        <v>10</v>
      </c>
      <c r="O12" s="5">
        <f t="shared" si="0"/>
        <v>9.1666666666666661</v>
      </c>
    </row>
    <row r="13" spans="2:16" ht="23.25" customHeight="1" x14ac:dyDescent="0.35">
      <c r="B13" s="12" t="s">
        <v>2</v>
      </c>
      <c r="C13" s="37"/>
      <c r="D13" s="37"/>
      <c r="E13" s="37"/>
      <c r="F13" s="37"/>
      <c r="G13" s="37"/>
      <c r="H13" s="37"/>
      <c r="I13" s="37"/>
      <c r="J13" s="37"/>
      <c r="K13" s="37"/>
      <c r="L13" s="37"/>
      <c r="M13" s="37"/>
      <c r="N13" s="38"/>
      <c r="O13" s="3" t="s">
        <v>19</v>
      </c>
      <c r="P13" s="3" t="s">
        <v>20</v>
      </c>
    </row>
    <row r="14" spans="2:16" ht="23.25" customHeight="1" x14ac:dyDescent="0.35">
      <c r="B14" s="34" t="s">
        <v>31</v>
      </c>
      <c r="C14" s="39">
        <v>60</v>
      </c>
      <c r="D14" s="39">
        <f>C14</f>
        <v>60</v>
      </c>
      <c r="E14" s="39">
        <f t="shared" ref="E14:N14" si="1">D14</f>
        <v>60</v>
      </c>
      <c r="F14" s="39">
        <f t="shared" si="1"/>
        <v>60</v>
      </c>
      <c r="G14" s="39">
        <f t="shared" si="1"/>
        <v>60</v>
      </c>
      <c r="H14" s="39">
        <f t="shared" si="1"/>
        <v>60</v>
      </c>
      <c r="I14" s="39">
        <f t="shared" si="1"/>
        <v>60</v>
      </c>
      <c r="J14" s="39">
        <f t="shared" si="1"/>
        <v>60</v>
      </c>
      <c r="K14" s="39">
        <f t="shared" si="1"/>
        <v>60</v>
      </c>
      <c r="L14" s="39">
        <f t="shared" si="1"/>
        <v>60</v>
      </c>
      <c r="M14" s="39">
        <f t="shared" si="1"/>
        <v>60</v>
      </c>
      <c r="N14" s="40">
        <f t="shared" si="1"/>
        <v>60</v>
      </c>
      <c r="O14" s="3">
        <v>8</v>
      </c>
      <c r="P14" s="3">
        <v>10</v>
      </c>
    </row>
    <row r="15" spans="2:16" ht="23.25" customHeight="1" x14ac:dyDescent="0.35">
      <c r="B15" s="34" t="s">
        <v>30</v>
      </c>
      <c r="C15" s="39">
        <v>70</v>
      </c>
      <c r="D15" s="39">
        <f>C15</f>
        <v>70</v>
      </c>
      <c r="E15" s="39">
        <f t="shared" ref="E15:N15" si="2">D15</f>
        <v>70</v>
      </c>
      <c r="F15" s="39">
        <f t="shared" si="2"/>
        <v>70</v>
      </c>
      <c r="G15" s="39">
        <f t="shared" si="2"/>
        <v>70</v>
      </c>
      <c r="H15" s="39">
        <f t="shared" si="2"/>
        <v>70</v>
      </c>
      <c r="I15" s="39">
        <f t="shared" si="2"/>
        <v>70</v>
      </c>
      <c r="J15" s="39">
        <f t="shared" si="2"/>
        <v>70</v>
      </c>
      <c r="K15" s="39">
        <f t="shared" si="2"/>
        <v>70</v>
      </c>
      <c r="L15" s="39">
        <f t="shared" si="2"/>
        <v>70</v>
      </c>
      <c r="M15" s="39">
        <f t="shared" si="2"/>
        <v>70</v>
      </c>
      <c r="N15" s="40">
        <f t="shared" si="2"/>
        <v>70</v>
      </c>
      <c r="O15" s="3">
        <v>12</v>
      </c>
      <c r="P15" s="3">
        <v>14</v>
      </c>
    </row>
    <row r="16" spans="2:16" ht="23.25" customHeight="1" x14ac:dyDescent="0.35">
      <c r="B16" s="34" t="s">
        <v>29</v>
      </c>
      <c r="C16" s="39">
        <v>10</v>
      </c>
      <c r="D16" s="39">
        <f>C16</f>
        <v>10</v>
      </c>
      <c r="E16" s="39">
        <f t="shared" ref="E16:N16" si="3">D16</f>
        <v>10</v>
      </c>
      <c r="F16" s="39">
        <f t="shared" si="3"/>
        <v>10</v>
      </c>
      <c r="G16" s="39">
        <f t="shared" si="3"/>
        <v>10</v>
      </c>
      <c r="H16" s="39">
        <f t="shared" si="3"/>
        <v>10</v>
      </c>
      <c r="I16" s="39">
        <f t="shared" si="3"/>
        <v>10</v>
      </c>
      <c r="J16" s="39">
        <f t="shared" si="3"/>
        <v>10</v>
      </c>
      <c r="K16" s="39">
        <f t="shared" si="3"/>
        <v>10</v>
      </c>
      <c r="L16" s="39">
        <f t="shared" si="3"/>
        <v>10</v>
      </c>
      <c r="M16" s="39">
        <f t="shared" si="3"/>
        <v>10</v>
      </c>
      <c r="N16" s="40">
        <f t="shared" si="3"/>
        <v>10</v>
      </c>
      <c r="O16" s="3">
        <v>28</v>
      </c>
      <c r="P16" s="3">
        <v>28</v>
      </c>
    </row>
    <row r="17" spans="2:16" ht="23.25" customHeight="1" x14ac:dyDescent="0.35">
      <c r="B17" s="12" t="s">
        <v>32</v>
      </c>
      <c r="C17" s="41"/>
      <c r="D17" s="41"/>
      <c r="E17" s="41"/>
      <c r="F17" s="41"/>
      <c r="G17" s="41"/>
      <c r="H17" s="41"/>
      <c r="I17" s="41"/>
      <c r="J17" s="41"/>
      <c r="K17" s="41"/>
      <c r="L17" s="41"/>
      <c r="M17" s="41"/>
      <c r="N17" s="42"/>
      <c r="O17" s="3"/>
      <c r="P17" s="3"/>
    </row>
    <row r="18" spans="2:16" ht="23.25" customHeight="1" x14ac:dyDescent="0.35">
      <c r="B18" s="34" t="s">
        <v>31</v>
      </c>
      <c r="C18" s="39">
        <f>C14-C10+32</f>
        <v>50</v>
      </c>
      <c r="D18" s="39">
        <f>IF(D14-D10+C18&gt;0,D14-D10+C18,0)</f>
        <v>68</v>
      </c>
      <c r="E18" s="39">
        <f t="shared" ref="E18:N18" si="4">IF(E14-E10+D18&gt;0,E14-E10+D18,0)</f>
        <v>86</v>
      </c>
      <c r="F18" s="39">
        <f t="shared" si="4"/>
        <v>98</v>
      </c>
      <c r="G18" s="39">
        <f t="shared" si="4"/>
        <v>68</v>
      </c>
      <c r="H18" s="39">
        <f t="shared" si="4"/>
        <v>20</v>
      </c>
      <c r="I18" s="39">
        <f t="shared" si="4"/>
        <v>0</v>
      </c>
      <c r="J18" s="39">
        <f t="shared" si="4"/>
        <v>0</v>
      </c>
      <c r="K18" s="39">
        <f t="shared" si="4"/>
        <v>6</v>
      </c>
      <c r="L18" s="39">
        <f t="shared" si="4"/>
        <v>18</v>
      </c>
      <c r="M18" s="39">
        <f t="shared" si="4"/>
        <v>36</v>
      </c>
      <c r="N18" s="40">
        <f t="shared" si="4"/>
        <v>48</v>
      </c>
      <c r="O18" s="3"/>
      <c r="P18" s="3"/>
    </row>
    <row r="19" spans="2:16" ht="23.25" customHeight="1" x14ac:dyDescent="0.35">
      <c r="B19" s="34" t="s">
        <v>30</v>
      </c>
      <c r="C19" s="39">
        <f>C15-C11+37</f>
        <v>72</v>
      </c>
      <c r="D19" s="39">
        <f t="shared" ref="D19:N20" si="5">IF(D15-D11+C19&gt;0,D15-D11+C19,0)</f>
        <v>107</v>
      </c>
      <c r="E19" s="39">
        <f t="shared" si="5"/>
        <v>135</v>
      </c>
      <c r="F19" s="39">
        <f t="shared" si="5"/>
        <v>135</v>
      </c>
      <c r="G19" s="39">
        <f t="shared" si="5"/>
        <v>79</v>
      </c>
      <c r="H19" s="39">
        <f t="shared" si="5"/>
        <v>9</v>
      </c>
      <c r="I19" s="39">
        <f t="shared" si="5"/>
        <v>0</v>
      </c>
      <c r="J19" s="39">
        <f t="shared" si="5"/>
        <v>0</v>
      </c>
      <c r="K19" s="39">
        <f t="shared" si="5"/>
        <v>14</v>
      </c>
      <c r="L19" s="39">
        <f t="shared" si="5"/>
        <v>42</v>
      </c>
      <c r="M19" s="39">
        <f t="shared" si="5"/>
        <v>84</v>
      </c>
      <c r="N19" s="40">
        <f t="shared" si="5"/>
        <v>84</v>
      </c>
      <c r="O19" s="3"/>
      <c r="P19" s="3"/>
    </row>
    <row r="20" spans="2:16" ht="23.25" customHeight="1" x14ac:dyDescent="0.35">
      <c r="B20" s="34" t="s">
        <v>29</v>
      </c>
      <c r="C20" s="39">
        <f>C16-C12+4</f>
        <v>10</v>
      </c>
      <c r="D20" s="39">
        <f t="shared" si="5"/>
        <v>18</v>
      </c>
      <c r="E20" s="39">
        <f t="shared" si="5"/>
        <v>25</v>
      </c>
      <c r="F20" s="39">
        <f t="shared" si="5"/>
        <v>28</v>
      </c>
      <c r="G20" s="39">
        <f t="shared" si="5"/>
        <v>22</v>
      </c>
      <c r="H20" s="39">
        <f t="shared" si="5"/>
        <v>10</v>
      </c>
      <c r="I20" s="39">
        <f t="shared" si="5"/>
        <v>2</v>
      </c>
      <c r="J20" s="39">
        <f t="shared" si="5"/>
        <v>2</v>
      </c>
      <c r="K20" s="39">
        <f t="shared" si="5"/>
        <v>4</v>
      </c>
      <c r="L20" s="39">
        <f t="shared" si="5"/>
        <v>8</v>
      </c>
      <c r="M20" s="39">
        <f t="shared" si="5"/>
        <v>14</v>
      </c>
      <c r="N20" s="40">
        <f t="shared" si="5"/>
        <v>14</v>
      </c>
      <c r="O20" s="3"/>
      <c r="P20" s="3"/>
    </row>
    <row r="21" spans="2:16" ht="23.25" customHeight="1" x14ac:dyDescent="0.35">
      <c r="B21" s="12" t="s">
        <v>3</v>
      </c>
      <c r="C21" s="37"/>
      <c r="D21" s="37"/>
      <c r="E21" s="37"/>
      <c r="F21" s="37"/>
      <c r="G21" s="37"/>
      <c r="H21" s="37"/>
      <c r="I21" s="37"/>
      <c r="J21" s="37"/>
      <c r="K21" s="37"/>
      <c r="L21" s="37"/>
      <c r="M21" s="37"/>
      <c r="N21" s="38"/>
    </row>
    <row r="22" spans="2:16" ht="23.25" customHeight="1" x14ac:dyDescent="0.35">
      <c r="B22" s="34" t="s">
        <v>17</v>
      </c>
      <c r="C22" s="39">
        <f>(C14*$O$14)+(C15*$O$15)+(C16*$O$16)</f>
        <v>1600</v>
      </c>
      <c r="D22" s="39">
        <f t="shared" ref="D22:N22" si="6">(D14*$O$14)+(D15*$O$15)+(D16*$O$16)</f>
        <v>1600</v>
      </c>
      <c r="E22" s="39">
        <f t="shared" si="6"/>
        <v>1600</v>
      </c>
      <c r="F22" s="39">
        <f t="shared" si="6"/>
        <v>1600</v>
      </c>
      <c r="G22" s="39">
        <f t="shared" si="6"/>
        <v>1600</v>
      </c>
      <c r="H22" s="39">
        <f t="shared" si="6"/>
        <v>1600</v>
      </c>
      <c r="I22" s="39">
        <f t="shared" si="6"/>
        <v>1600</v>
      </c>
      <c r="J22" s="39">
        <f t="shared" si="6"/>
        <v>1600</v>
      </c>
      <c r="K22" s="39">
        <f t="shared" si="6"/>
        <v>1600</v>
      </c>
      <c r="L22" s="39">
        <f t="shared" si="6"/>
        <v>1600</v>
      </c>
      <c r="M22" s="39">
        <f t="shared" si="6"/>
        <v>1600</v>
      </c>
      <c r="N22" s="40">
        <f t="shared" si="6"/>
        <v>1600</v>
      </c>
    </row>
    <row r="23" spans="2:16" ht="23.25" customHeight="1" thickBot="1" x14ac:dyDescent="0.4">
      <c r="B23" s="43" t="s">
        <v>18</v>
      </c>
      <c r="C23" s="44">
        <f>(C14*$P$14)+(C15*$P$15)+(C16*$P$16)</f>
        <v>1860</v>
      </c>
      <c r="D23" s="44">
        <f t="shared" ref="D23:N23" si="7">(D14*$P$14)+(D15*$P$15)+(D16*$P$16)</f>
        <v>1860</v>
      </c>
      <c r="E23" s="44">
        <f t="shared" si="7"/>
        <v>1860</v>
      </c>
      <c r="F23" s="44">
        <f t="shared" si="7"/>
        <v>1860</v>
      </c>
      <c r="G23" s="44">
        <f t="shared" si="7"/>
        <v>1860</v>
      </c>
      <c r="H23" s="44">
        <f t="shared" si="7"/>
        <v>1860</v>
      </c>
      <c r="I23" s="44">
        <f t="shared" si="7"/>
        <v>1860</v>
      </c>
      <c r="J23" s="44">
        <f t="shared" si="7"/>
        <v>1860</v>
      </c>
      <c r="K23" s="44">
        <f t="shared" si="7"/>
        <v>1860</v>
      </c>
      <c r="L23" s="44">
        <f t="shared" si="7"/>
        <v>1860</v>
      </c>
      <c r="M23" s="44">
        <f t="shared" si="7"/>
        <v>1860</v>
      </c>
      <c r="N23" s="45">
        <f t="shared" si="7"/>
        <v>1860</v>
      </c>
    </row>
    <row r="24" spans="2:16" ht="23.25" customHeight="1" thickTop="1" x14ac:dyDescent="0.25">
      <c r="B24" s="1"/>
      <c r="C24" s="2"/>
      <c r="D24" s="2"/>
      <c r="E24" s="2"/>
      <c r="F24" s="2"/>
      <c r="G24" s="2"/>
      <c r="H24" s="2"/>
      <c r="I24" s="2"/>
      <c r="J24" s="2"/>
      <c r="K24" s="2"/>
      <c r="L24" s="2"/>
      <c r="M24" s="2"/>
      <c r="N24" s="2"/>
    </row>
  </sheetData>
  <sheetProtection sheet="1" objects="1" scenarios="1"/>
  <mergeCells count="1">
    <mergeCell ref="B1:N1"/>
  </mergeCells>
  <conditionalFormatting sqref="C24:N24">
    <cfRule type="cellIs" dxfId="2" priority="2" operator="greaterThan">
      <formula>C27</formula>
    </cfRule>
    <cfRule type="cellIs" dxfId="1" priority="3" operator="greaterThan">
      <formula>$C$27</formula>
    </cfRule>
  </conditionalFormatting>
  <conditionalFormatting sqref="C18:N18 D19:N20">
    <cfRule type="cellIs" dxfId="0" priority="1" operator="lessThan">
      <formula>1</formula>
    </cfRule>
  </conditionalFormatting>
  <printOptions horizontalCentered="1" verticalCentered="1"/>
  <pageMargins left="0" right="0" top="0.74803149606299213" bottom="0.74803149606299213" header="0.31496062992125984" footer="0.31496062992125984"/>
  <pageSetup paperSize="9" scale="80" orientation="landscape" verticalDpi="0" r:id="rId1"/>
  <drawing r:id="rId2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Feuilles de calcul</vt:lpstr>
      </vt:variant>
      <vt:variant>
        <vt:i4>3</vt:i4>
      </vt:variant>
    </vt:vector>
  </HeadingPairs>
  <TitlesOfParts>
    <vt:vector size="3" baseType="lpstr">
      <vt:lpstr>Juste à temps</vt:lpstr>
      <vt:lpstr>Parc existant au maxi</vt:lpstr>
      <vt:lpstr>Investissement au maxi</vt:lpstr>
    </vt:vector>
  </TitlesOfParts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daniel</dc:creator>
  <cp:lastModifiedBy>mina</cp:lastModifiedBy>
  <cp:lastPrinted>2017-07-13T10:25:18Z</cp:lastPrinted>
  <dcterms:created xsi:type="dcterms:W3CDTF">2016-11-16T15:30:24Z</dcterms:created>
  <dcterms:modified xsi:type="dcterms:W3CDTF">2020-04-23T18:33:30Z</dcterms:modified>
</cp:coreProperties>
</file>