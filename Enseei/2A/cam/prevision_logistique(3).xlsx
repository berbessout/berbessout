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gcasey.N7-COLORADO\Documents\2023 2024\M1\FISE\BG\"/>
    </mc:Choice>
  </mc:AlternateContent>
  <xr:revisionPtr revIDLastSave="0" documentId="8_{486F88BD-7ADA-4B5B-BBD1-4433A7CA5BE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de d'emploi" sheetId="51471" r:id="rId1"/>
    <sheet name="hypothèses" sheetId="51465" r:id="rId2"/>
    <sheet name="Synthèse des résultats" sheetId="51466" r:id="rId3"/>
    <sheet name="Matières" sheetId="1" r:id="rId4"/>
    <sheet name="Bateaux" sheetId="51469" r:id="rId5"/>
    <sheet name="Ateliers" sheetId="5146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D15" i="1"/>
  <c r="H20" i="1"/>
  <c r="H19" i="1"/>
  <c r="H18" i="1"/>
  <c r="H17" i="1"/>
  <c r="F22" i="1"/>
  <c r="E22" i="1"/>
  <c r="D22" i="1"/>
  <c r="D55" i="51465"/>
  <c r="M8" i="51465" s="1"/>
  <c r="C9" i="51469" s="1"/>
  <c r="D54" i="51465"/>
  <c r="G8" i="51465" s="1"/>
  <c r="F10" i="51469"/>
  <c r="H4" i="1"/>
  <c r="G12" i="51465" l="1"/>
  <c r="B16" i="51464"/>
  <c r="B4" i="51464"/>
  <c r="L1" i="51469"/>
  <c r="L1" i="1"/>
  <c r="E4" i="1" s="1"/>
  <c r="E15" i="1" s="1"/>
  <c r="G5" i="51464"/>
  <c r="G6" i="51464"/>
  <c r="G7" i="51464"/>
  <c r="G8" i="51464"/>
  <c r="C10" i="51464"/>
  <c r="C22" i="51464" s="1"/>
  <c r="D10" i="51464"/>
  <c r="D22" i="51464" s="1"/>
  <c r="E10" i="51464"/>
  <c r="E22" i="51464" s="1"/>
  <c r="C11" i="51464"/>
  <c r="D11" i="51464"/>
  <c r="E11" i="51464"/>
  <c r="G17" i="51464"/>
  <c r="G18" i="51464"/>
  <c r="G19" i="51464"/>
  <c r="G20" i="51464"/>
  <c r="C23" i="51464"/>
  <c r="D23" i="51464"/>
  <c r="E23" i="51464"/>
  <c r="E10" i="51469"/>
  <c r="G10" i="51469"/>
  <c r="E11" i="51469"/>
  <c r="F11" i="51469"/>
  <c r="G11" i="51469"/>
  <c r="E12" i="51469"/>
  <c r="F12" i="51469"/>
  <c r="G12" i="51469"/>
  <c r="E13" i="51469"/>
  <c r="F13" i="51469"/>
  <c r="G13" i="51469"/>
  <c r="E14" i="51469"/>
  <c r="F14" i="51469"/>
  <c r="G14" i="51469"/>
  <c r="H6" i="1"/>
  <c r="H8" i="1"/>
  <c r="H9" i="1"/>
  <c r="D10" i="1"/>
  <c r="D21" i="1" s="1"/>
  <c r="E10" i="1"/>
  <c r="F10" i="1"/>
  <c r="D11" i="1"/>
  <c r="E11" i="1"/>
  <c r="F11" i="1"/>
  <c r="D12" i="1" l="1"/>
  <c r="E12" i="51464"/>
  <c r="D24" i="51464"/>
  <c r="D12" i="51464"/>
  <c r="G21" i="51464"/>
  <c r="C44" i="51466" s="1"/>
  <c r="C24" i="51464"/>
  <c r="G9" i="51464"/>
  <c r="B44" i="51466" s="1"/>
  <c r="H7" i="1"/>
  <c r="G15" i="51469"/>
  <c r="C20" i="51466" s="1"/>
  <c r="F15" i="51469"/>
  <c r="C19" i="51466" s="1"/>
  <c r="E21" i="1"/>
  <c r="E24" i="51464"/>
  <c r="D23" i="1"/>
  <c r="C12" i="51464"/>
  <c r="E15" i="51469"/>
  <c r="C18" i="51466" s="1"/>
  <c r="E12" i="1"/>
  <c r="F21" i="1"/>
  <c r="F23" i="1" s="1"/>
  <c r="F12" i="1"/>
  <c r="J10" i="51469" l="1"/>
  <c r="G12" i="51464"/>
  <c r="B43" i="51466" s="1"/>
  <c r="B45" i="51466" s="1"/>
  <c r="G24" i="51464"/>
  <c r="J9" i="51469"/>
  <c r="B49" i="51466"/>
  <c r="E23" i="1"/>
  <c r="H23" i="1" s="1"/>
  <c r="B48" i="51466"/>
  <c r="H12" i="1"/>
  <c r="H13" i="1" s="1"/>
  <c r="C48" i="51466"/>
  <c r="B47" i="51466"/>
  <c r="J8" i="51469"/>
  <c r="L5" i="1" l="1"/>
  <c r="C4" i="51466"/>
  <c r="G13" i="51464"/>
  <c r="G25" i="51464"/>
  <c r="B40" i="51466"/>
  <c r="B51" i="51466"/>
  <c r="C43" i="51466"/>
  <c r="C45" i="51466" s="1"/>
  <c r="C40" i="51466"/>
  <c r="B41" i="51466"/>
  <c r="C49" i="51466"/>
  <c r="C41" i="51466"/>
  <c r="D48" i="51466"/>
  <c r="C47" i="51466"/>
  <c r="C51" i="51466"/>
  <c r="D51" i="51466"/>
  <c r="I5" i="51464" l="1"/>
  <c r="K5" i="51466"/>
  <c r="I4" i="51464"/>
  <c r="K4" i="51466"/>
  <c r="B52" i="51466"/>
  <c r="D49" i="51466"/>
  <c r="H24" i="1"/>
  <c r="C5" i="51466" s="1"/>
  <c r="D52" i="51466"/>
  <c r="C52" i="51466"/>
  <c r="D41" i="51466"/>
  <c r="D47" i="51466"/>
  <c r="D40" i="51466" l="1"/>
  <c r="L6" i="1"/>
</calcChain>
</file>

<file path=xl/sharedStrings.xml><?xml version="1.0" encoding="utf-8"?>
<sst xmlns="http://schemas.openxmlformats.org/spreadsheetml/2006/main" count="215" uniqueCount="117">
  <si>
    <t>A</t>
  </si>
  <si>
    <t>B</t>
  </si>
  <si>
    <t>C</t>
  </si>
  <si>
    <t>Objectifs de production</t>
  </si>
  <si>
    <t>+</t>
  </si>
  <si>
    <t>-</t>
  </si>
  <si>
    <t>=</t>
  </si>
  <si>
    <t>Conso unitaire / bateau</t>
  </si>
  <si>
    <t>Stock initial mat. premières</t>
  </si>
  <si>
    <t>Conso globale / type bateau</t>
  </si>
  <si>
    <t>Commande fournisseur</t>
  </si>
  <si>
    <t>Plastique</t>
  </si>
  <si>
    <t>Bois</t>
  </si>
  <si>
    <t>m3</t>
  </si>
  <si>
    <t>Stock final plastique ( en t ) :</t>
  </si>
  <si>
    <t>Tonnes</t>
  </si>
  <si>
    <t>Stock final MP bois</t>
  </si>
  <si>
    <t>Capacité de l'atelier (HTM)</t>
  </si>
  <si>
    <t>Conso unitaire HTM / bateau</t>
  </si>
  <si>
    <t>HTM</t>
  </si>
  <si>
    <t>x</t>
  </si>
  <si>
    <t>Insuffisance (-) ou Excédent (+) HTM Moulage</t>
  </si>
  <si>
    <t>Insuffisance (-) ou Excédent (+) HTM Finition</t>
  </si>
  <si>
    <t>Moulage</t>
  </si>
  <si>
    <t>Finition</t>
  </si>
  <si>
    <t>Prévision des consommations d'HTM en fonction des objectifs de production.</t>
  </si>
  <si>
    <t>Approvisionnement.</t>
  </si>
  <si>
    <t>Commercialisation.</t>
  </si>
  <si>
    <t>Objectifs de ventes</t>
  </si>
  <si>
    <t>Stocks plastique</t>
  </si>
  <si>
    <t>Stocks bois</t>
  </si>
  <si>
    <t>Besoins HTM</t>
  </si>
  <si>
    <t>Capacité HTM</t>
  </si>
  <si>
    <t>Marge contribution</t>
  </si>
  <si>
    <t>m+1</t>
  </si>
  <si>
    <t>m+2</t>
  </si>
  <si>
    <t>m+3</t>
  </si>
  <si>
    <t>Taux d'utilisation</t>
  </si>
  <si>
    <t>Taux de MSCV</t>
  </si>
  <si>
    <t>Production mensuelle</t>
  </si>
  <si>
    <t>Stock final de bateaux</t>
  </si>
  <si>
    <t>Stock initial de bateaux</t>
  </si>
  <si>
    <t>Prévision des stocks de bateaux.</t>
  </si>
  <si>
    <t>Achats négociés</t>
  </si>
  <si>
    <t>Ventes négociées</t>
  </si>
  <si>
    <t>Livraison commande m</t>
  </si>
  <si>
    <t>Consommation plastique par bateau (t)</t>
  </si>
  <si>
    <t>Consommation moulage (en HTM)</t>
  </si>
  <si>
    <t>Consommation finition (en HTM)</t>
  </si>
  <si>
    <t>Ne rien saisir</t>
  </si>
  <si>
    <t>Dossier prévisionnel pour aider à la prise de décisions</t>
  </si>
  <si>
    <t>Saisie des données</t>
  </si>
  <si>
    <t>Les instructions pour  les champs à saisir sont de couleur rouge.</t>
  </si>
  <si>
    <t>Nature des données</t>
  </si>
  <si>
    <t>Les décisions sont sur fond vert.</t>
  </si>
  <si>
    <t>Les résultats à reporter sont sur fond jaune.</t>
  </si>
  <si>
    <t>Les paramètres sont sur fond bleu.</t>
  </si>
  <si>
    <t xml:space="preserve">Les objectifs de ventes qui dépendent des clients autant que de </t>
  </si>
  <si>
    <t>Saisir les décisions  envisagées dans les tableaux ci-dessous.</t>
  </si>
  <si>
    <t>notre volonté sont sur fond rouge</t>
  </si>
  <si>
    <t>Production</t>
  </si>
  <si>
    <r>
      <t xml:space="preserve">Commandes </t>
    </r>
    <r>
      <rPr>
        <b/>
        <sz val="11"/>
        <rFont val="Arial"/>
        <family val="2"/>
      </rPr>
      <t>mensuelles</t>
    </r>
    <r>
      <rPr>
        <sz val="11"/>
        <rFont val="Arial"/>
        <family val="2"/>
      </rPr>
      <t xml:space="preserve"> prévues.</t>
    </r>
  </si>
  <si>
    <r>
      <t xml:space="preserve">Objectifs </t>
    </r>
    <r>
      <rPr>
        <b/>
        <sz val="11"/>
        <rFont val="Arial"/>
        <family val="2"/>
      </rPr>
      <t>mensuels</t>
    </r>
    <r>
      <rPr>
        <sz val="11"/>
        <rFont val="Arial"/>
        <family val="2"/>
      </rPr>
      <t xml:space="preserve"> de production </t>
    </r>
  </si>
  <si>
    <r>
      <t xml:space="preserve">Objectifs </t>
    </r>
    <r>
      <rPr>
        <b/>
        <sz val="11"/>
        <rFont val="Arial"/>
        <family val="2"/>
      </rPr>
      <t>mensuels</t>
    </r>
    <r>
      <rPr>
        <sz val="11"/>
        <rFont val="Arial"/>
        <family val="2"/>
      </rPr>
      <t xml:space="preserve"> de ventes</t>
    </r>
  </si>
  <si>
    <r>
      <t>Consommation bois par bateau (en 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)</t>
    </r>
  </si>
  <si>
    <t>commande</t>
  </si>
  <si>
    <t>Logistique : la gestion des stocks et de la production</t>
  </si>
  <si>
    <r>
      <t xml:space="preserve">Des données sont à saisir dans les onglets </t>
    </r>
    <r>
      <rPr>
        <b/>
        <sz val="16"/>
        <color indexed="10"/>
        <rFont val="Arial"/>
        <family val="2"/>
      </rPr>
      <t>"hypothèses"</t>
    </r>
    <r>
      <rPr>
        <sz val="16"/>
        <rFont val="Arial"/>
        <family val="2"/>
      </rPr>
      <t>, les autres onglets sont protégés aucune saisie n'est demandée.</t>
    </r>
  </si>
  <si>
    <t>Les champs qui ne nécessitent pas de saisie sont protégés</t>
  </si>
  <si>
    <t>Saisir les objectifs mensuels de ventes</t>
  </si>
  <si>
    <t>Les prévisions sont effectuées pour le mois en cours, celui pour lequel les décisions sont en préparation.</t>
  </si>
  <si>
    <t>Différentes hypothèses pour les prévisions du mois en cours.</t>
  </si>
  <si>
    <t>Numéro du dernier mois écoulé</t>
  </si>
  <si>
    <t>soit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</si>
  <si>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</si>
  <si>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</si>
  <si>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</si>
  <si>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</si>
  <si>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</si>
  <si>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</si>
  <si>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</si>
  <si>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</si>
  <si>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</si>
  <si>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</si>
  <si>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</si>
  <si>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</si>
  <si>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 xml:space="preserve">       les prévisons concernent le mois de </t>
  </si>
  <si>
    <t>Saisir le numéro du dernier mois écoulé</t>
  </si>
  <si>
    <t>Stocks initiaux au début du mois</t>
  </si>
  <si>
    <t>Prévision des entrées et sorties de stocks pour le mois de</t>
  </si>
  <si>
    <t>Mois en cours :</t>
  </si>
  <si>
    <t>Stock final MP plastique</t>
  </si>
  <si>
    <t>Stock final bois ( en m3 ) :</t>
  </si>
  <si>
    <t>plastique</t>
  </si>
  <si>
    <t>bois</t>
  </si>
  <si>
    <t>plastique (t)</t>
  </si>
  <si>
    <t>bois (m3)</t>
  </si>
  <si>
    <t>Prévision des stocks de bateaux à la fin du mois de</t>
  </si>
  <si>
    <t>Nombre de machines</t>
  </si>
  <si>
    <t>Nombre de machines acquises</t>
  </si>
  <si>
    <t>Nombre de machines cédées</t>
  </si>
  <si>
    <t>Capacité par machine(HTM)</t>
  </si>
  <si>
    <t>moulage</t>
  </si>
  <si>
    <t>finition</t>
  </si>
  <si>
    <t>Saisir les stocks début du mois G13, H13, O10, P10 et Q10</t>
  </si>
  <si>
    <t>Saisir le nombre de machines au début du mois O15 et P15.</t>
  </si>
  <si>
    <t>Nombre de machines achetées (mois en cours)</t>
  </si>
  <si>
    <t>Nombre de machines vendues (mois en cours)</t>
  </si>
  <si>
    <t>Nombre de machines au début du mois</t>
  </si>
  <si>
    <t>Capacité par machine (en HTM)</t>
  </si>
  <si>
    <t>Prévisions pour le mois de</t>
  </si>
  <si>
    <t xml:space="preserve">Prévisions mensuelles </t>
  </si>
  <si>
    <t>Pech4</t>
  </si>
  <si>
    <t>Prom5.5</t>
  </si>
  <si>
    <t>Stan8</t>
  </si>
  <si>
    <t>Achats  négociés</t>
  </si>
  <si>
    <t>Ventes  négociées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</si>
</sst>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F_-;\-* #,##0.00\ _F_-;_-* &quot;-&quot;??\ _F_-;_-@_-"/>
    <numFmt numFmtId="165" formatCode="#,##0.00_ ;[Red]\-#,##0.00\ "/>
    <numFmt numFmtId="166" formatCode="#,##0_ ;[Red]\-#,##0\ "/>
  </numFmts>
  <fonts count="24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0"/>
      <color indexed="10"/>
      <name val="Arial"/>
      <family val="2"/>
    </font>
    <font>
      <b/>
      <sz val="14"/>
      <name val="Arial"/>
      <family val="2"/>
    </font>
    <font>
      <b/>
      <sz val="14"/>
      <color indexed="1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6"/>
      <color indexed="1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vertAlign val="superscript"/>
      <sz val="11"/>
      <name val="Arial"/>
      <family val="2"/>
    </font>
    <font>
      <sz val="11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8" tint="0.59999389629810485"/>
        <bgColor indexed="64"/>
      </patternFill>
    </fill>
  </fills>
  <borders count="5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1">
    <xf numFmtId="0" fontId="0" fillId="0" borderId="0" xfId="0"/>
    <xf numFmtId="165" fontId="2" fillId="0" borderId="0" xfId="1" applyNumberFormat="1" applyFont="1" applyProtection="1"/>
    <xf numFmtId="165" fontId="4" fillId="0" borderId="0" xfId="1" applyNumberFormat="1" applyFont="1" applyProtection="1"/>
    <xf numFmtId="165" fontId="4" fillId="0" borderId="0" xfId="1" applyNumberFormat="1" applyFont="1" applyFill="1" applyProtection="1"/>
    <xf numFmtId="0" fontId="0" fillId="0" borderId="0" xfId="0" applyProtection="1">
      <protection locked="0"/>
    </xf>
    <xf numFmtId="165" fontId="4" fillId="0" borderId="0" xfId="1" applyNumberFormat="1" applyFont="1" applyProtection="1">
      <protection locked="0"/>
    </xf>
    <xf numFmtId="0" fontId="6" fillId="0" borderId="0" xfId="0" applyFont="1" applyProtection="1"/>
    <xf numFmtId="0" fontId="0" fillId="0" borderId="0" xfId="0" applyProtection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" fontId="0" fillId="0" borderId="0" xfId="0" applyNumberFormat="1"/>
    <xf numFmtId="3" fontId="0" fillId="0" borderId="0" xfId="0" applyNumberFormat="1"/>
    <xf numFmtId="165" fontId="6" fillId="0" borderId="0" xfId="1" applyNumberFormat="1" applyFont="1" applyProtection="1"/>
    <xf numFmtId="165" fontId="6" fillId="0" borderId="0" xfId="1" applyNumberFormat="1" applyFont="1" applyAlignment="1" applyProtection="1">
      <alignment horizontal="center"/>
    </xf>
    <xf numFmtId="165" fontId="9" fillId="0" borderId="0" xfId="1" applyNumberFormat="1" applyFont="1" applyFill="1" applyBorder="1" applyAlignment="1" applyProtection="1">
      <alignment horizontal="center"/>
    </xf>
    <xf numFmtId="165" fontId="7" fillId="0" borderId="0" xfId="1" applyNumberFormat="1" applyFont="1" applyFill="1" applyBorder="1" applyAlignment="1" applyProtection="1">
      <alignment horizontal="center"/>
    </xf>
    <xf numFmtId="165" fontId="9" fillId="0" borderId="0" xfId="1" applyNumberFormat="1" applyFont="1" applyFill="1" applyBorder="1" applyAlignment="1" applyProtection="1">
      <alignment horizontal="left"/>
    </xf>
    <xf numFmtId="165" fontId="8" fillId="0" borderId="0" xfId="1" applyNumberFormat="1" applyFont="1" applyFill="1" applyBorder="1" applyAlignment="1" applyProtection="1">
      <alignment horizontal="center"/>
    </xf>
    <xf numFmtId="165" fontId="3" fillId="0" borderId="0" xfId="1" applyNumberFormat="1" applyFont="1" applyProtection="1"/>
    <xf numFmtId="165" fontId="7" fillId="0" borderId="0" xfId="1" applyNumberFormat="1" applyFont="1" applyProtection="1"/>
    <xf numFmtId="165" fontId="6" fillId="0" borderId="0" xfId="1" applyNumberFormat="1" applyFont="1" applyFill="1" applyBorder="1" applyAlignment="1" applyProtection="1">
      <alignment horizontal="right"/>
    </xf>
    <xf numFmtId="165" fontId="0" fillId="0" borderId="0" xfId="0" applyNumberFormat="1" applyProtection="1"/>
    <xf numFmtId="165" fontId="10" fillId="0" borderId="0" xfId="1" applyNumberFormat="1" applyFont="1" applyProtection="1"/>
    <xf numFmtId="0" fontId="13" fillId="0" borderId="0" xfId="0" applyFont="1" applyProtection="1"/>
    <xf numFmtId="0" fontId="0" fillId="0" borderId="6" xfId="0" applyBorder="1" applyProtection="1"/>
    <xf numFmtId="0" fontId="0" fillId="0" borderId="0" xfId="0" applyBorder="1" applyProtection="1"/>
    <xf numFmtId="0" fontId="5" fillId="0" borderId="0" xfId="0" applyFont="1" applyAlignment="1" applyProtection="1">
      <alignment horizontal="center"/>
    </xf>
    <xf numFmtId="0" fontId="0" fillId="0" borderId="23" xfId="0" applyBorder="1" applyProtection="1"/>
    <xf numFmtId="0" fontId="0" fillId="0" borderId="0" xfId="0" applyFill="1" applyBorder="1" applyProtection="1"/>
    <xf numFmtId="0" fontId="13" fillId="0" borderId="0" xfId="0" applyFont="1" applyAlignment="1" applyProtection="1">
      <alignment horizontal="left"/>
    </xf>
    <xf numFmtId="0" fontId="13" fillId="0" borderId="0" xfId="0" applyFont="1" applyAlignment="1" applyProtection="1"/>
    <xf numFmtId="0" fontId="11" fillId="0" borderId="0" xfId="0" applyFont="1" applyBorder="1" applyAlignment="1" applyProtection="1">
      <alignment horizontal="center"/>
    </xf>
    <xf numFmtId="4" fontId="0" fillId="0" borderId="0" xfId="0" applyNumberFormat="1" applyFill="1" applyBorder="1" applyProtection="1"/>
    <xf numFmtId="165" fontId="10" fillId="0" borderId="0" xfId="1" applyNumberFormat="1" applyFont="1" applyAlignment="1" applyProtection="1">
      <alignment horizontal="center"/>
    </xf>
    <xf numFmtId="0" fontId="17" fillId="0" borderId="0" xfId="0" applyFont="1"/>
    <xf numFmtId="0" fontId="18" fillId="0" borderId="0" xfId="0" applyFont="1"/>
    <xf numFmtId="165" fontId="18" fillId="8" borderId="53" xfId="1" applyNumberFormat="1" applyFont="1" applyFill="1" applyBorder="1" applyProtection="1"/>
    <xf numFmtId="165" fontId="18" fillId="0" borderId="0" xfId="1" applyNumberFormat="1" applyFont="1" applyFill="1" applyBorder="1" applyProtection="1"/>
    <xf numFmtId="0" fontId="18" fillId="4" borderId="53" xfId="0" applyFont="1" applyFill="1" applyBorder="1" applyProtection="1"/>
    <xf numFmtId="3" fontId="17" fillId="9" borderId="53" xfId="0" applyNumberFormat="1" applyFont="1" applyFill="1" applyBorder="1" applyAlignment="1" applyProtection="1">
      <alignment horizontal="center"/>
      <protection locked="0"/>
    </xf>
    <xf numFmtId="0" fontId="18" fillId="7" borderId="53" xfId="0" applyFont="1" applyFill="1" applyBorder="1"/>
    <xf numFmtId="165" fontId="15" fillId="0" borderId="0" xfId="1" applyNumberFormat="1" applyFont="1" applyFill="1" applyBorder="1" applyAlignment="1" applyProtection="1">
      <alignment horizontal="left"/>
    </xf>
    <xf numFmtId="0" fontId="15" fillId="0" borderId="0" xfId="0" applyFont="1"/>
    <xf numFmtId="165" fontId="15" fillId="0" borderId="0" xfId="1" applyNumberFormat="1" applyFont="1" applyAlignment="1" applyProtection="1">
      <alignment horizontal="center"/>
    </xf>
    <xf numFmtId="0" fontId="5" fillId="0" borderId="0" xfId="0" applyFont="1" applyAlignment="1" applyProtection="1">
      <alignment horizontal="center"/>
    </xf>
    <xf numFmtId="0" fontId="0" fillId="0" borderId="0" xfId="0" applyAlignment="1">
      <alignment horizontal="center"/>
    </xf>
    <xf numFmtId="0" fontId="20" fillId="0" borderId="0" xfId="0" applyFont="1"/>
    <xf numFmtId="4" fontId="0" fillId="0" borderId="0" xfId="0" applyNumberFormat="1" applyFill="1" applyBorder="1" applyAlignment="1" applyProtection="1">
      <alignment horizontal="center"/>
    </xf>
    <xf numFmtId="4" fontId="11" fillId="0" borderId="0" xfId="0" applyNumberFormat="1" applyFont="1" applyFill="1" applyBorder="1" applyAlignment="1" applyProtection="1">
      <alignment horizontal="center"/>
    </xf>
    <xf numFmtId="4" fontId="0" fillId="0" borderId="0" xfId="0" applyNumberFormat="1" applyFill="1" applyBorder="1" applyAlignment="1" applyProtection="1">
      <alignment horizontal="center"/>
      <protection locked="0"/>
    </xf>
    <xf numFmtId="4" fontId="0" fillId="0" borderId="0" xfId="0" applyNumberFormat="1" applyFill="1" applyBorder="1" applyProtection="1">
      <protection locked="0"/>
    </xf>
    <xf numFmtId="0" fontId="0" fillId="0" borderId="0" xfId="0" applyFill="1" applyBorder="1"/>
    <xf numFmtId="0" fontId="5" fillId="4" borderId="30" xfId="0" applyFont="1" applyFill="1" applyBorder="1" applyAlignment="1" applyProtection="1">
      <alignment horizontal="center"/>
    </xf>
    <xf numFmtId="0" fontId="0" fillId="6" borderId="30" xfId="0" applyFill="1" applyBorder="1" applyProtection="1"/>
    <xf numFmtId="0" fontId="11" fillId="7" borderId="30" xfId="0" applyFont="1" applyFill="1" applyBorder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Fill="1" applyBorder="1" applyAlignment="1" applyProtection="1">
      <alignment horizontal="center"/>
    </xf>
    <xf numFmtId="0" fontId="0" fillId="0" borderId="0" xfId="0" applyFill="1"/>
    <xf numFmtId="0" fontId="11" fillId="0" borderId="0" xfId="0" applyFont="1" applyFill="1" applyBorder="1" applyAlignment="1" applyProtection="1">
      <alignment horizontal="center"/>
    </xf>
    <xf numFmtId="0" fontId="0" fillId="0" borderId="0" xfId="0" applyFill="1" applyBorder="1" applyAlignment="1" applyProtection="1">
      <alignment horizontal="center"/>
    </xf>
    <xf numFmtId="0" fontId="2" fillId="0" borderId="0" xfId="0" applyFont="1"/>
    <xf numFmtId="0" fontId="2" fillId="0" borderId="0" xfId="0" applyFont="1" applyProtection="1"/>
    <xf numFmtId="0" fontId="2" fillId="0" borderId="0" xfId="0" applyFont="1" applyBorder="1" applyProtection="1"/>
    <xf numFmtId="0" fontId="10" fillId="0" borderId="52" xfId="0" applyFont="1" applyBorder="1" applyProtection="1"/>
    <xf numFmtId="0" fontId="2" fillId="0" borderId="52" xfId="0" applyFont="1" applyBorder="1" applyProtection="1"/>
    <xf numFmtId="0" fontId="10" fillId="0" borderId="25" xfId="0" applyFont="1" applyBorder="1" applyAlignment="1" applyProtection="1">
      <alignment horizontal="center"/>
    </xf>
    <xf numFmtId="0" fontId="10" fillId="0" borderId="0" xfId="0" applyFont="1" applyFill="1" applyBorder="1" applyProtection="1"/>
    <xf numFmtId="0" fontId="2" fillId="0" borderId="0" xfId="0" applyFont="1" applyFill="1" applyBorder="1" applyProtection="1"/>
    <xf numFmtId="0" fontId="10" fillId="0" borderId="26" xfId="0" applyFont="1" applyBorder="1" applyAlignment="1" applyProtection="1">
      <alignment horizontal="center"/>
    </xf>
    <xf numFmtId="0" fontId="10" fillId="0" borderId="0" xfId="0" applyFont="1" applyBorder="1" applyProtection="1"/>
    <xf numFmtId="0" fontId="10" fillId="4" borderId="10" xfId="0" applyFont="1" applyFill="1" applyBorder="1" applyAlignment="1" applyProtection="1">
      <alignment horizontal="center"/>
      <protection locked="0"/>
    </xf>
    <xf numFmtId="0" fontId="2" fillId="3" borderId="11" xfId="0" applyFont="1" applyFill="1" applyBorder="1" applyProtection="1"/>
    <xf numFmtId="0" fontId="2" fillId="0" borderId="6" xfId="0" applyFont="1" applyBorder="1" applyProtection="1"/>
    <xf numFmtId="0" fontId="10" fillId="4" borderId="11" xfId="0" applyFont="1" applyFill="1" applyBorder="1" applyAlignment="1" applyProtection="1">
      <alignment horizontal="center"/>
      <protection locked="0"/>
    </xf>
    <xf numFmtId="0" fontId="10" fillId="6" borderId="10" xfId="0" applyFont="1" applyFill="1" applyBorder="1" applyAlignment="1" applyProtection="1">
      <alignment horizontal="center"/>
      <protection locked="0"/>
    </xf>
    <xf numFmtId="0" fontId="10" fillId="6" borderId="11" xfId="0" applyFont="1" applyFill="1" applyBorder="1" applyAlignment="1" applyProtection="1">
      <alignment horizontal="center"/>
      <protection locked="0"/>
    </xf>
    <xf numFmtId="0" fontId="10" fillId="0" borderId="0" xfId="0" applyFont="1" applyFill="1" applyBorder="1" applyAlignment="1" applyProtection="1">
      <alignment horizontal="center"/>
      <protection locked="0"/>
    </xf>
    <xf numFmtId="0" fontId="10" fillId="0" borderId="0" xfId="0" applyFont="1" applyFill="1" applyBorder="1" applyAlignment="1" applyProtection="1">
      <alignment horizontal="center"/>
    </xf>
    <xf numFmtId="0" fontId="10" fillId="0" borderId="30" xfId="0" applyFont="1" applyBorder="1" applyAlignment="1" applyProtection="1">
      <alignment horizontal="center"/>
    </xf>
    <xf numFmtId="0" fontId="2" fillId="0" borderId="31" xfId="0" applyFont="1" applyFill="1" applyBorder="1" applyProtection="1"/>
    <xf numFmtId="0" fontId="2" fillId="0" borderId="0" xfId="0" applyFont="1" applyFill="1" applyBorder="1" applyAlignment="1" applyProtection="1">
      <alignment horizontal="center"/>
    </xf>
    <xf numFmtId="0" fontId="2" fillId="0" borderId="6" xfId="0" applyFont="1" applyFill="1" applyBorder="1" applyProtection="1"/>
    <xf numFmtId="0" fontId="2" fillId="0" borderId="51" xfId="0" applyFont="1" applyBorder="1" applyProtection="1"/>
    <xf numFmtId="0" fontId="10" fillId="0" borderId="0" xfId="0" applyFont="1" applyProtection="1"/>
    <xf numFmtId="0" fontId="10" fillId="0" borderId="0" xfId="0" applyFont="1" applyBorder="1" applyAlignment="1" applyProtection="1">
      <alignment horizontal="center"/>
    </xf>
    <xf numFmtId="0" fontId="10" fillId="5" borderId="10" xfId="0" applyFont="1" applyFill="1" applyBorder="1" applyAlignment="1" applyProtection="1">
      <alignment horizontal="center"/>
      <protection locked="0"/>
    </xf>
    <xf numFmtId="0" fontId="2" fillId="0" borderId="10" xfId="0" applyFont="1" applyFill="1" applyBorder="1" applyProtection="1"/>
    <xf numFmtId="0" fontId="2" fillId="0" borderId="11" xfId="0" applyFont="1" applyFill="1" applyBorder="1" applyProtection="1"/>
    <xf numFmtId="0" fontId="10" fillId="0" borderId="31" xfId="0" applyFont="1" applyBorder="1" applyAlignment="1" applyProtection="1">
      <alignment horizontal="center"/>
    </xf>
    <xf numFmtId="0" fontId="10" fillId="5" borderId="11" xfId="0" applyFont="1" applyFill="1" applyBorder="1" applyAlignment="1" applyProtection="1">
      <alignment horizontal="center"/>
      <protection locked="0"/>
    </xf>
    <xf numFmtId="0" fontId="2" fillId="0" borderId="17" xfId="0" applyFont="1" applyFill="1" applyBorder="1" applyProtection="1"/>
    <xf numFmtId="0" fontId="10" fillId="5" borderId="14" xfId="0" applyFont="1" applyFill="1" applyBorder="1" applyAlignment="1" applyProtection="1">
      <alignment horizontal="center"/>
      <protection locked="0"/>
    </xf>
    <xf numFmtId="0" fontId="10" fillId="5" borderId="15" xfId="0" applyFont="1" applyFill="1" applyBorder="1" applyAlignment="1" applyProtection="1">
      <alignment horizontal="center"/>
      <protection locked="0"/>
    </xf>
    <xf numFmtId="0" fontId="0" fillId="0" borderId="38" xfId="0" applyBorder="1" applyProtection="1"/>
    <xf numFmtId="0" fontId="2" fillId="0" borderId="55" xfId="0" applyFont="1" applyBorder="1" applyProtection="1"/>
    <xf numFmtId="0" fontId="10" fillId="7" borderId="40" xfId="0" applyFont="1" applyFill="1" applyBorder="1" applyAlignment="1" applyProtection="1">
      <alignment horizontal="center"/>
      <protection locked="0"/>
    </xf>
    <xf numFmtId="0" fontId="10" fillId="7" borderId="41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165" fontId="14" fillId="0" borderId="0" xfId="1" applyNumberFormat="1" applyFont="1" applyAlignment="1" applyProtection="1">
      <alignment horizontal="center"/>
    </xf>
    <xf numFmtId="165" fontId="5" fillId="0" borderId="0" xfId="1" applyNumberFormat="1" applyFont="1" applyAlignment="1" applyProtection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 applyProtection="1">
      <alignment horizontal="center"/>
      <protection locked="0"/>
    </xf>
    <xf numFmtId="0" fontId="2" fillId="0" borderId="0" xfId="0" applyFont="1" applyFill="1" applyAlignment="1" applyProtection="1">
      <alignment horizontal="center"/>
      <protection locked="0"/>
    </xf>
    <xf numFmtId="0" fontId="1" fillId="0" borderId="0" xfId="0" applyFont="1"/>
    <xf numFmtId="0" fontId="10" fillId="4" borderId="0" xfId="0" applyFont="1" applyFill="1" applyAlignment="1" applyProtection="1">
      <alignment horizontal="center"/>
    </xf>
    <xf numFmtId="0" fontId="0" fillId="0" borderId="0" xfId="0" applyFill="1" applyProtection="1"/>
    <xf numFmtId="0" fontId="2" fillId="0" borderId="0" xfId="0" applyFont="1" applyFill="1"/>
    <xf numFmtId="0" fontId="2" fillId="0" borderId="0" xfId="0" applyFont="1" applyFill="1" applyProtection="1"/>
    <xf numFmtId="0" fontId="10" fillId="0" borderId="0" xfId="0" applyFont="1" applyFill="1" applyAlignment="1" applyProtection="1">
      <alignment horizontal="center"/>
    </xf>
    <xf numFmtId="0" fontId="10" fillId="4" borderId="30" xfId="0" applyFont="1" applyFill="1" applyBorder="1" applyAlignment="1" applyProtection="1">
      <alignment horizontal="center"/>
      <protection locked="0"/>
    </xf>
    <xf numFmtId="0" fontId="23" fillId="0" borderId="0" xfId="0" applyFont="1" applyFill="1"/>
    <xf numFmtId="165" fontId="11" fillId="2" borderId="16" xfId="1" applyNumberFormat="1" applyFont="1" applyFill="1" applyBorder="1" applyAlignment="1" applyProtection="1">
      <alignment horizontal="center"/>
    </xf>
    <xf numFmtId="165" fontId="11" fillId="2" borderId="22" xfId="1" applyNumberFormat="1" applyFont="1" applyFill="1" applyBorder="1" applyAlignment="1" applyProtection="1">
      <alignment horizontal="center"/>
    </xf>
    <xf numFmtId="165" fontId="11" fillId="2" borderId="17" xfId="1" applyNumberFormat="1" applyFont="1" applyFill="1" applyBorder="1" applyProtection="1"/>
    <xf numFmtId="165" fontId="5" fillId="2" borderId="16" xfId="1" applyNumberFormat="1" applyFont="1" applyFill="1" applyBorder="1" applyAlignment="1" applyProtection="1">
      <alignment horizontal="center"/>
    </xf>
    <xf numFmtId="165" fontId="5" fillId="2" borderId="22" xfId="1" applyNumberFormat="1" applyFont="1" applyFill="1" applyBorder="1" applyAlignment="1" applyProtection="1">
      <alignment horizontal="center"/>
    </xf>
    <xf numFmtId="165" fontId="12" fillId="0" borderId="4" xfId="1" applyNumberFormat="1" applyFont="1" applyBorder="1" applyProtection="1"/>
    <xf numFmtId="165" fontId="5" fillId="0" borderId="7" xfId="1" applyNumberFormat="1" applyFont="1" applyFill="1" applyBorder="1" applyAlignment="1" applyProtection="1">
      <alignment horizontal="center"/>
    </xf>
    <xf numFmtId="165" fontId="12" fillId="4" borderId="8" xfId="1" applyNumberFormat="1" applyFont="1" applyFill="1" applyBorder="1" applyProtection="1"/>
    <xf numFmtId="165" fontId="12" fillId="4" borderId="18" xfId="1" applyNumberFormat="1" applyFont="1" applyFill="1" applyBorder="1" applyProtection="1"/>
    <xf numFmtId="165" fontId="12" fillId="0" borderId="12" xfId="1" applyNumberFormat="1" applyFont="1" applyBorder="1" applyProtection="1"/>
    <xf numFmtId="165" fontId="5" fillId="0" borderId="9" xfId="1" quotePrefix="1" applyNumberFormat="1" applyFont="1" applyFill="1" applyBorder="1" applyAlignment="1" applyProtection="1">
      <alignment horizontal="center"/>
    </xf>
    <xf numFmtId="165" fontId="12" fillId="6" borderId="10" xfId="1" applyNumberFormat="1" applyFont="1" applyFill="1" applyBorder="1" applyProtection="1"/>
    <xf numFmtId="165" fontId="12" fillId="6" borderId="11" xfId="1" applyNumberFormat="1" applyFont="1" applyFill="1" applyBorder="1" applyProtection="1"/>
    <xf numFmtId="165" fontId="5" fillId="0" borderId="9" xfId="1" applyNumberFormat="1" applyFont="1" applyFill="1" applyBorder="1" applyAlignment="1" applyProtection="1">
      <alignment horizontal="center"/>
    </xf>
    <xf numFmtId="165" fontId="12" fillId="0" borderId="5" xfId="1" applyNumberFormat="1" applyFont="1" applyBorder="1" applyProtection="1"/>
    <xf numFmtId="165" fontId="5" fillId="0" borderId="13" xfId="1" quotePrefix="1" applyNumberFormat="1" applyFont="1" applyBorder="1" applyAlignment="1" applyProtection="1">
      <alignment horizontal="center"/>
    </xf>
    <xf numFmtId="165" fontId="12" fillId="7" borderId="14" xfId="1" applyNumberFormat="1" applyFont="1" applyFill="1" applyBorder="1" applyProtection="1"/>
    <xf numFmtId="165" fontId="12" fillId="7" borderId="15" xfId="1" applyNumberFormat="1" applyFont="1" applyFill="1" applyBorder="1" applyProtection="1"/>
    <xf numFmtId="165" fontId="5" fillId="2" borderId="17" xfId="1" applyNumberFormat="1" applyFont="1" applyFill="1" applyBorder="1" applyProtection="1"/>
    <xf numFmtId="165" fontId="5" fillId="2" borderId="19" xfId="1" quotePrefix="1" applyNumberFormat="1" applyFont="1" applyFill="1" applyBorder="1" applyAlignment="1" applyProtection="1">
      <alignment horizontal="center"/>
    </xf>
    <xf numFmtId="165" fontId="5" fillId="2" borderId="20" xfId="1" applyNumberFormat="1" applyFont="1" applyFill="1" applyBorder="1" applyProtection="1"/>
    <xf numFmtId="165" fontId="5" fillId="2" borderId="21" xfId="1" applyNumberFormat="1" applyFont="1" applyFill="1" applyBorder="1" applyProtection="1"/>
    <xf numFmtId="165" fontId="1" fillId="0" borderId="44" xfId="1" applyNumberFormat="1" applyFont="1" applyBorder="1" applyProtection="1"/>
    <xf numFmtId="165" fontId="1" fillId="3" borderId="24" xfId="1" applyNumberFormat="1" applyFont="1" applyFill="1" applyBorder="1" applyProtection="1"/>
    <xf numFmtId="165" fontId="1" fillId="3" borderId="25" xfId="1" applyNumberFormat="1" applyFont="1" applyFill="1" applyBorder="1" applyProtection="1"/>
    <xf numFmtId="165" fontId="1" fillId="3" borderId="26" xfId="1" applyNumberFormat="1" applyFont="1" applyFill="1" applyBorder="1" applyProtection="1"/>
    <xf numFmtId="165" fontId="11" fillId="0" borderId="23" xfId="1" applyNumberFormat="1" applyFont="1" applyFill="1" applyBorder="1" applyAlignment="1" applyProtection="1">
      <alignment horizontal="center"/>
    </xf>
    <xf numFmtId="165" fontId="1" fillId="4" borderId="27" xfId="1" applyNumberFormat="1" applyFont="1" applyFill="1" applyBorder="1" applyAlignment="1" applyProtection="1">
      <alignment horizontal="right"/>
    </xf>
    <xf numFmtId="165" fontId="1" fillId="0" borderId="45" xfId="1" applyNumberFormat="1" applyFont="1" applyBorder="1" applyProtection="1"/>
    <xf numFmtId="165" fontId="1" fillId="3" borderId="46" xfId="1" applyNumberFormat="1" applyFont="1" applyFill="1" applyBorder="1" applyProtection="1"/>
    <xf numFmtId="165" fontId="1" fillId="3" borderId="47" xfId="1" applyNumberFormat="1" applyFont="1" applyFill="1" applyBorder="1" applyProtection="1"/>
    <xf numFmtId="165" fontId="1" fillId="3" borderId="48" xfId="1" applyNumberFormat="1" applyFont="1" applyFill="1" applyBorder="1" applyProtection="1"/>
    <xf numFmtId="165" fontId="11" fillId="0" borderId="45" xfId="1" applyNumberFormat="1" applyFont="1" applyFill="1" applyBorder="1" applyAlignment="1" applyProtection="1">
      <alignment horizontal="center"/>
    </xf>
    <xf numFmtId="165" fontId="1" fillId="6" borderId="49" xfId="1" applyNumberFormat="1" applyFont="1" applyFill="1" applyBorder="1" applyAlignment="1" applyProtection="1">
      <alignment horizontal="right"/>
    </xf>
    <xf numFmtId="165" fontId="1" fillId="0" borderId="28" xfId="1" applyNumberFormat="1" applyFont="1" applyBorder="1" applyProtection="1"/>
    <xf numFmtId="165" fontId="1" fillId="3" borderId="29" xfId="1" applyNumberFormat="1" applyFont="1" applyFill="1" applyBorder="1" applyProtection="1"/>
    <xf numFmtId="165" fontId="1" fillId="3" borderId="30" xfId="1" applyNumberFormat="1" applyFont="1" applyFill="1" applyBorder="1" applyProtection="1"/>
    <xf numFmtId="165" fontId="1" fillId="3" borderId="31" xfId="1" applyNumberFormat="1" applyFont="1" applyFill="1" applyBorder="1" applyProtection="1"/>
    <xf numFmtId="165" fontId="1" fillId="5" borderId="49" xfId="1" applyNumberFormat="1" applyFont="1" applyFill="1" applyBorder="1" applyAlignment="1" applyProtection="1">
      <alignment horizontal="right"/>
    </xf>
    <xf numFmtId="165" fontId="1" fillId="0" borderId="33" xfId="1" applyNumberFormat="1" applyFont="1" applyBorder="1" applyProtection="1"/>
    <xf numFmtId="165" fontId="1" fillId="3" borderId="39" xfId="1" applyNumberFormat="1" applyFont="1" applyFill="1" applyBorder="1" applyProtection="1"/>
    <xf numFmtId="165" fontId="1" fillId="3" borderId="40" xfId="1" applyNumberFormat="1" applyFont="1" applyFill="1" applyBorder="1" applyProtection="1"/>
    <xf numFmtId="165" fontId="1" fillId="3" borderId="41" xfId="1" applyNumberFormat="1" applyFont="1" applyFill="1" applyBorder="1" applyProtection="1"/>
    <xf numFmtId="165" fontId="11" fillId="0" borderId="38" xfId="1" applyNumberFormat="1" applyFont="1" applyFill="1" applyBorder="1" applyAlignment="1" applyProtection="1">
      <alignment horizontal="center"/>
    </xf>
    <xf numFmtId="165" fontId="1" fillId="0" borderId="42" xfId="1" applyNumberFormat="1" applyFont="1" applyBorder="1" applyAlignment="1" applyProtection="1">
      <alignment horizontal="right"/>
    </xf>
    <xf numFmtId="165" fontId="1" fillId="6" borderId="24" xfId="1" applyNumberFormat="1" applyFont="1" applyFill="1" applyBorder="1" applyProtection="1"/>
    <xf numFmtId="165" fontId="1" fillId="6" borderId="25" xfId="1" applyNumberFormat="1" applyFont="1" applyFill="1" applyBorder="1" applyProtection="1"/>
    <xf numFmtId="165" fontId="1" fillId="6" borderId="26" xfId="1" applyNumberFormat="1" applyFont="1" applyFill="1" applyBorder="1" applyProtection="1"/>
    <xf numFmtId="165" fontId="11" fillId="3" borderId="23" xfId="1" applyNumberFormat="1" applyFont="1" applyFill="1" applyBorder="1" applyAlignment="1" applyProtection="1">
      <alignment horizontal="center"/>
    </xf>
    <xf numFmtId="165" fontId="1" fillId="3" borderId="27" xfId="1" applyNumberFormat="1" applyFont="1" applyFill="1" applyBorder="1" applyAlignment="1" applyProtection="1">
      <alignment horizontal="right"/>
    </xf>
    <xf numFmtId="165" fontId="1" fillId="5" borderId="34" xfId="1" applyNumberFormat="1" applyFont="1" applyFill="1" applyBorder="1" applyProtection="1"/>
    <xf numFmtId="165" fontId="1" fillId="5" borderId="35" xfId="1" applyNumberFormat="1" applyFont="1" applyFill="1" applyBorder="1" applyProtection="1"/>
    <xf numFmtId="165" fontId="1" fillId="5" borderId="36" xfId="1" applyNumberFormat="1" applyFont="1" applyFill="1" applyBorder="1" applyProtection="1"/>
    <xf numFmtId="165" fontId="11" fillId="3" borderId="33" xfId="1" applyNumberFormat="1" applyFont="1" applyFill="1" applyBorder="1" applyAlignment="1" applyProtection="1">
      <alignment horizontal="center"/>
    </xf>
    <xf numFmtId="165" fontId="1" fillId="3" borderId="37" xfId="1" applyNumberFormat="1" applyFont="1" applyFill="1" applyBorder="1" applyAlignment="1" applyProtection="1">
      <alignment horizontal="right"/>
    </xf>
    <xf numFmtId="165" fontId="1" fillId="0" borderId="50" xfId="1" applyNumberFormat="1" applyFont="1" applyBorder="1" applyProtection="1"/>
    <xf numFmtId="165" fontId="1" fillId="0" borderId="39" xfId="1" applyNumberFormat="1" applyFont="1" applyBorder="1" applyProtection="1"/>
    <xf numFmtId="165" fontId="1" fillId="0" borderId="40" xfId="1" applyNumberFormat="1" applyFont="1" applyBorder="1" applyProtection="1"/>
    <xf numFmtId="165" fontId="1" fillId="0" borderId="41" xfId="1" applyNumberFormat="1" applyFont="1" applyBorder="1" applyProtection="1"/>
    <xf numFmtId="165" fontId="11" fillId="2" borderId="1" xfId="1" applyNumberFormat="1" applyFont="1" applyFill="1" applyBorder="1" applyProtection="1"/>
    <xf numFmtId="165" fontId="11" fillId="2" borderId="2" xfId="1" applyNumberFormat="1" applyFont="1" applyFill="1" applyBorder="1" applyProtection="1"/>
    <xf numFmtId="165" fontId="11" fillId="2" borderId="3" xfId="1" applyNumberFormat="1" applyFont="1" applyFill="1" applyBorder="1" applyProtection="1"/>
    <xf numFmtId="165" fontId="11" fillId="2" borderId="17" xfId="1" quotePrefix="1" applyNumberFormat="1" applyFont="1" applyFill="1" applyBorder="1" applyAlignment="1" applyProtection="1">
      <alignment horizontal="center"/>
    </xf>
    <xf numFmtId="165" fontId="11" fillId="2" borderId="43" xfId="1" applyNumberFormat="1" applyFont="1" applyFill="1" applyBorder="1" applyAlignment="1" applyProtection="1">
      <alignment horizontal="right"/>
    </xf>
    <xf numFmtId="165" fontId="1" fillId="0" borderId="19" xfId="1" applyNumberFormat="1" applyFont="1" applyBorder="1" applyAlignment="1" applyProtection="1">
      <alignment horizontal="center"/>
    </xf>
    <xf numFmtId="165" fontId="1" fillId="0" borderId="20" xfId="1" applyNumberFormat="1" applyFont="1" applyBorder="1" applyAlignment="1" applyProtection="1">
      <alignment horizontal="center"/>
    </xf>
    <xf numFmtId="165" fontId="1" fillId="0" borderId="21" xfId="1" applyNumberFormat="1" applyFont="1" applyBorder="1" applyAlignment="1" applyProtection="1">
      <alignment horizontal="center"/>
    </xf>
    <xf numFmtId="165" fontId="11" fillId="2" borderId="1" xfId="1" applyNumberFormat="1" applyFont="1" applyFill="1" applyBorder="1" applyAlignment="1" applyProtection="1">
      <alignment horizontal="center"/>
    </xf>
    <xf numFmtId="165" fontId="11" fillId="2" borderId="3" xfId="1" applyNumberFormat="1" applyFont="1" applyFill="1" applyBorder="1" applyAlignment="1" applyProtection="1">
      <alignment horizontal="center"/>
    </xf>
    <xf numFmtId="165" fontId="1" fillId="0" borderId="0" xfId="1" applyNumberFormat="1" applyFont="1" applyProtection="1"/>
    <xf numFmtId="165" fontId="11" fillId="0" borderId="0" xfId="1" applyNumberFormat="1" applyFont="1" applyAlignment="1" applyProtection="1">
      <alignment horizontal="center"/>
    </xf>
    <xf numFmtId="165" fontId="1" fillId="0" borderId="0" xfId="1" applyNumberFormat="1" applyFont="1" applyAlignment="1" applyProtection="1">
      <alignment horizontal="right"/>
    </xf>
    <xf numFmtId="165" fontId="5" fillId="0" borderId="45" xfId="1" applyNumberFormat="1" applyFont="1" applyFill="1" applyBorder="1" applyAlignment="1" applyProtection="1">
      <alignment horizontal="center"/>
    </xf>
    <xf numFmtId="165" fontId="4" fillId="0" borderId="0" xfId="1" applyNumberFormat="1" applyFont="1" applyAlignment="1" applyProtection="1">
      <alignment horizontal="left"/>
    </xf>
    <xf numFmtId="0" fontId="4" fillId="0" borderId="0" xfId="0" applyFont="1"/>
    <xf numFmtId="0" fontId="0" fillId="0" borderId="1" xfId="0" applyFill="1" applyBorder="1" applyProtection="1"/>
    <xf numFmtId="0" fontId="2" fillId="0" borderId="2" xfId="0" applyFont="1" applyFill="1" applyBorder="1"/>
    <xf numFmtId="0" fontId="2" fillId="0" borderId="2" xfId="0" applyFont="1" applyFill="1" applyBorder="1" applyProtection="1"/>
    <xf numFmtId="0" fontId="10" fillId="0" borderId="2" xfId="0" applyFont="1" applyFill="1" applyBorder="1" applyAlignment="1" applyProtection="1">
      <alignment horizontal="center"/>
      <protection locked="0"/>
    </xf>
    <xf numFmtId="0" fontId="10" fillId="0" borderId="2" xfId="0" applyFont="1" applyFill="1" applyBorder="1" applyAlignment="1" applyProtection="1">
      <alignment horizontal="right"/>
      <protection locked="0"/>
    </xf>
    <xf numFmtId="0" fontId="2" fillId="0" borderId="3" xfId="0" applyFont="1" applyFill="1" applyBorder="1" applyProtection="1"/>
    <xf numFmtId="0" fontId="10" fillId="0" borderId="2" xfId="0" applyFont="1" applyFill="1" applyBorder="1" applyAlignment="1" applyProtection="1">
      <alignment horizontal="left"/>
    </xf>
    <xf numFmtId="166" fontId="1" fillId="0" borderId="0" xfId="1" applyNumberFormat="1" applyFont="1" applyAlignment="1" applyProtection="1">
      <alignment horizontal="left"/>
    </xf>
    <xf numFmtId="165" fontId="1" fillId="0" borderId="0" xfId="1" applyNumberFormat="1" applyFont="1" applyFill="1" applyAlignment="1" applyProtection="1">
      <alignment horizontal="center"/>
    </xf>
    <xf numFmtId="165" fontId="1" fillId="0" borderId="7" xfId="1" applyNumberFormat="1" applyFont="1" applyBorder="1" applyAlignment="1" applyProtection="1">
      <alignment horizontal="center"/>
    </xf>
    <xf numFmtId="165" fontId="1" fillId="0" borderId="8" xfId="1" applyNumberFormat="1" applyFont="1" applyBorder="1" applyAlignment="1" applyProtection="1">
      <alignment horizontal="center"/>
    </xf>
    <xf numFmtId="165" fontId="1" fillId="0" borderId="18" xfId="1" applyNumberFormat="1" applyFont="1" applyBorder="1" applyAlignment="1" applyProtection="1">
      <alignment horizontal="center"/>
    </xf>
    <xf numFmtId="165" fontId="1" fillId="0" borderId="23" xfId="1" applyNumberFormat="1" applyFont="1" applyBorder="1" applyProtection="1"/>
    <xf numFmtId="165" fontId="1" fillId="4" borderId="27" xfId="1" applyNumberFormat="1" applyFont="1" applyFill="1" applyBorder="1" applyProtection="1"/>
    <xf numFmtId="165" fontId="11" fillId="0" borderId="28" xfId="1" quotePrefix="1" applyNumberFormat="1" applyFont="1" applyFill="1" applyBorder="1" applyAlignment="1" applyProtection="1">
      <alignment horizontal="center"/>
    </xf>
    <xf numFmtId="165" fontId="1" fillId="6" borderId="32" xfId="1" applyNumberFormat="1" applyFont="1" applyFill="1" applyBorder="1" applyProtection="1"/>
    <xf numFmtId="165" fontId="1" fillId="3" borderId="34" xfId="1" applyNumberFormat="1" applyFont="1" applyFill="1" applyBorder="1" applyProtection="1"/>
    <xf numFmtId="165" fontId="1" fillId="3" borderId="35" xfId="1" applyNumberFormat="1" applyFont="1" applyFill="1" applyBorder="1" applyProtection="1"/>
    <xf numFmtId="165" fontId="1" fillId="3" borderId="36" xfId="1" applyNumberFormat="1" applyFont="1" applyFill="1" applyBorder="1" applyProtection="1"/>
    <xf numFmtId="165" fontId="1" fillId="6" borderId="37" xfId="1" applyNumberFormat="1" applyFont="1" applyFill="1" applyBorder="1" applyProtection="1"/>
    <xf numFmtId="165" fontId="1" fillId="0" borderId="38" xfId="1" applyNumberFormat="1" applyFont="1" applyBorder="1" applyProtection="1"/>
    <xf numFmtId="165" fontId="1" fillId="6" borderId="42" xfId="1" applyNumberFormat="1" applyFont="1" applyFill="1" applyBorder="1" applyProtection="1"/>
    <xf numFmtId="165" fontId="1" fillId="6" borderId="24" xfId="1" applyNumberFormat="1" applyFont="1" applyFill="1" applyBorder="1" applyAlignment="1" applyProtection="1">
      <alignment horizontal="center"/>
    </xf>
    <xf numFmtId="165" fontId="1" fillId="6" borderId="25" xfId="1" applyNumberFormat="1" applyFont="1" applyFill="1" applyBorder="1" applyAlignment="1" applyProtection="1">
      <alignment horizontal="center"/>
    </xf>
    <xf numFmtId="165" fontId="1" fillId="6" borderId="26" xfId="1" applyNumberFormat="1" applyFont="1" applyFill="1" applyBorder="1" applyAlignment="1" applyProtection="1">
      <alignment horizontal="center"/>
    </xf>
    <xf numFmtId="165" fontId="1" fillId="3" borderId="23" xfId="1" applyNumberFormat="1" applyFont="1" applyFill="1" applyBorder="1" applyProtection="1"/>
    <xf numFmtId="165" fontId="1" fillId="3" borderId="27" xfId="1" applyNumberFormat="1" applyFont="1" applyFill="1" applyBorder="1" applyProtection="1"/>
    <xf numFmtId="165" fontId="1" fillId="5" borderId="29" xfId="1" applyNumberFormat="1" applyFont="1" applyFill="1" applyBorder="1" applyAlignment="1" applyProtection="1">
      <alignment horizontal="center"/>
    </xf>
    <xf numFmtId="165" fontId="1" fillId="5" borderId="30" xfId="1" applyNumberFormat="1" applyFont="1" applyFill="1" applyBorder="1" applyAlignment="1" applyProtection="1">
      <alignment horizontal="center"/>
    </xf>
    <xf numFmtId="165" fontId="1" fillId="5" borderId="31" xfId="1" applyNumberFormat="1" applyFont="1" applyFill="1" applyBorder="1" applyAlignment="1" applyProtection="1">
      <alignment horizontal="center"/>
    </xf>
    <xf numFmtId="165" fontId="1" fillId="3" borderId="28" xfId="1" applyNumberFormat="1" applyFont="1" applyFill="1" applyBorder="1" applyProtection="1"/>
    <xf numFmtId="165" fontId="1" fillId="3" borderId="32" xfId="1" applyNumberFormat="1" applyFont="1" applyFill="1" applyBorder="1" applyProtection="1"/>
    <xf numFmtId="165" fontId="1" fillId="0" borderId="39" xfId="1" applyNumberFormat="1" applyFont="1" applyBorder="1" applyAlignment="1" applyProtection="1">
      <alignment horizontal="center"/>
    </xf>
    <xf numFmtId="165" fontId="1" fillId="0" borderId="40" xfId="1" applyNumberFormat="1" applyFont="1" applyBorder="1" applyAlignment="1" applyProtection="1">
      <alignment horizontal="center"/>
    </xf>
    <xf numFmtId="165" fontId="1" fillId="0" borderId="41" xfId="1" applyNumberFormat="1" applyFont="1" applyBorder="1" applyAlignment="1" applyProtection="1">
      <alignment horizontal="center"/>
    </xf>
    <xf numFmtId="165" fontId="11" fillId="0" borderId="38" xfId="1" quotePrefix="1" applyNumberFormat="1" applyFont="1" applyBorder="1" applyAlignment="1" applyProtection="1">
      <alignment horizontal="center"/>
    </xf>
    <xf numFmtId="165" fontId="1" fillId="0" borderId="42" xfId="1" applyNumberFormat="1" applyFont="1" applyBorder="1" applyProtection="1"/>
    <xf numFmtId="165" fontId="11" fillId="3" borderId="13" xfId="1" applyNumberFormat="1" applyFont="1" applyFill="1" applyBorder="1" applyProtection="1"/>
    <xf numFmtId="165" fontId="11" fillId="3" borderId="14" xfId="1" applyNumberFormat="1" applyFont="1" applyFill="1" applyBorder="1" applyProtection="1"/>
    <xf numFmtId="165" fontId="11" fillId="3" borderId="15" xfId="1" applyNumberFormat="1" applyFont="1" applyFill="1" applyBorder="1" applyProtection="1"/>
    <xf numFmtId="165" fontId="11" fillId="2" borderId="43" xfId="1" applyNumberFormat="1" applyFont="1" applyFill="1" applyBorder="1" applyProtection="1"/>
    <xf numFmtId="165" fontId="5" fillId="2" borderId="21" xfId="1" applyNumberFormat="1" applyFont="1" applyFill="1" applyBorder="1" applyAlignment="1" applyProtection="1">
      <alignment horizont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 applyProtection="1">
      <alignment horizontal="center"/>
    </xf>
    <xf numFmtId="0" fontId="21" fillId="0" borderId="56" xfId="0" applyFont="1" applyBorder="1" applyAlignment="1" applyProtection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10" fillId="0" borderId="23" xfId="0" applyFont="1" applyBorder="1" applyAlignment="1" applyProtection="1"/>
    <xf numFmtId="0" fontId="2" fillId="0" borderId="52" xfId="0" applyFont="1" applyBorder="1" applyAlignment="1" applyProtection="1"/>
    <xf numFmtId="0" fontId="2" fillId="0" borderId="54" xfId="0" applyFont="1" applyBorder="1" applyAlignment="1" applyProtection="1"/>
    <xf numFmtId="165" fontId="14" fillId="0" borderId="0" xfId="1" applyNumberFormat="1" applyFont="1" applyAlignment="1" applyProtection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 applyProtection="1">
      <alignment horizontal="center"/>
    </xf>
    <xf numFmtId="0" fontId="12" fillId="0" borderId="0" xfId="0" applyFont="1" applyAlignment="1" applyProtection="1">
      <alignment horizontal="center"/>
    </xf>
    <xf numFmtId="0" fontId="14" fillId="0" borderId="0" xfId="0" applyFont="1" applyAlignment="1">
      <alignment horizontal="right"/>
    </xf>
    <xf numFmtId="165" fontId="11" fillId="0" borderId="51" xfId="1" applyNumberFormat="1" applyFont="1" applyBorder="1" applyAlignment="1" applyProtection="1">
      <alignment horizontal="center"/>
    </xf>
    <xf numFmtId="0" fontId="11" fillId="0" borderId="51" xfId="0" applyFont="1" applyBorder="1" applyAlignment="1" applyProtection="1">
      <alignment horizontal="center"/>
    </xf>
    <xf numFmtId="0" fontId="1" fillId="0" borderId="51" xfId="0" applyFont="1" applyBorder="1" applyAlignment="1" applyProtection="1">
      <alignment horizontal="center"/>
    </xf>
    <xf numFmtId="165" fontId="14" fillId="0" borderId="0" xfId="1" applyNumberFormat="1" applyFont="1" applyAlignment="1" applyProtection="1">
      <alignment horizontal="center"/>
    </xf>
    <xf numFmtId="0" fontId="0" fillId="0" borderId="0" xfId="0" applyAlignme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colors>
    <mruColors>
      <color rgb="FF00FF00"/>
      <color rgb="FFFF0000"/>
      <color rgb="FFFEBAB8"/>
      <color rgb="FF2CAD1B"/>
      <color rgb="FFFC56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HTM disponibles ou manquantes (-)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DB60-4EBC-824C-F4E9815E719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DB60-4EBC-824C-F4E9815E7190}"/>
              </c:ext>
            </c:extLst>
          </c:dPt>
          <c:cat>
            <c:strRef>
              <c:f>'Synthèse des résultats'!$J$4:$J$5</c:f>
              <c:strCache>
                <c:ptCount val="2"/>
                <c:pt idx="0">
                  <c:v>moulage</c:v>
                </c:pt>
                <c:pt idx="1">
                  <c:v>finition</c:v>
                </c:pt>
              </c:strCache>
            </c:strRef>
          </c:cat>
          <c:val>
            <c:numRef>
              <c:f>'Synthèse des résultats'!$K$4:$K$5</c:f>
              <c:numCache>
                <c:formatCode>General</c:formatCode>
                <c:ptCount val="2"/>
                <c:pt idx="0">
                  <c:v>0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60-4EBC-824C-F4E9815E7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044288"/>
        <c:axId val="70054272"/>
        <c:axId val="0"/>
      </c:bar3DChart>
      <c:catAx>
        <c:axId val="70044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crossAx val="70054272"/>
        <c:crosses val="autoZero"/>
        <c:auto val="1"/>
        <c:lblAlgn val="ctr"/>
        <c:lblOffset val="100"/>
        <c:noMultiLvlLbl val="0"/>
      </c:catAx>
      <c:valAx>
        <c:axId val="7005427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low"/>
        <c:crossAx val="70044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Prévision des stocks de matières fin de mois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0-02B6-4B00-8DB5-80F6009FE5B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02B6-4B00-8DB5-80F6009FE5B9}"/>
              </c:ext>
            </c:extLst>
          </c:dPt>
          <c:cat>
            <c:strRef>
              <c:f>'Synthèse des résultats'!$B$4:$B$5</c:f>
              <c:strCache>
                <c:ptCount val="2"/>
                <c:pt idx="0">
                  <c:v>plastique</c:v>
                </c:pt>
                <c:pt idx="1">
                  <c:v>bois</c:v>
                </c:pt>
              </c:strCache>
            </c:strRef>
          </c:cat>
          <c:val>
            <c:numRef>
              <c:f>'Synthèse des résultats'!$C$4:$C$5</c:f>
              <c:numCache>
                <c:formatCode>General</c:formatCode>
                <c:ptCount val="2"/>
                <c:pt idx="0">
                  <c:v>1.3999999999999986</c:v>
                </c:pt>
                <c:pt idx="1">
                  <c:v>0.69999999999999929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B6-4B00-8DB5-80F6009FE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071424"/>
        <c:axId val="70072960"/>
        <c:axId val="0"/>
      </c:bar3DChart>
      <c:catAx>
        <c:axId val="70071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70072960"/>
        <c:crosses val="autoZero"/>
        <c:auto val="1"/>
        <c:lblAlgn val="ctr"/>
        <c:lblOffset val="100"/>
        <c:noMultiLvlLbl val="0"/>
      </c:catAx>
      <c:valAx>
        <c:axId val="700729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70071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Prévision des stocks de bateaux fin de mois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Pt>
            <c:idx val="1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0-A086-4FF0-9425-BCD6B7209694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A086-4FF0-9425-BCD6B7209694}"/>
              </c:ext>
            </c:extLst>
          </c:dPt>
          <c:cat>
            <c:strRef>
              <c:f>'Synthèse des résultats'!$B$18:$B$20</c:f>
              <c:strCache>
                <c:ptCount val="3"/>
                <c:pt idx="0">
                  <c:v>Pech4</c:v>
                </c:pt>
                <c:pt idx="1">
                  <c:v>Prom5.5</c:v>
                </c:pt>
                <c:pt idx="2">
                  <c:v>Stan8</c:v>
                </c:pt>
              </c:strCache>
            </c:strRef>
          </c:cat>
          <c:val>
            <c:numRef>
              <c:f>'Synthèse des résultats'!$C$18:$C$20</c:f>
              <c:numCache>
                <c:formatCode>General</c:formatCode>
                <c:ptCount val="3"/>
                <c:pt idx="0">
                  <c:v>36</c:v>
                </c:pt>
                <c:pt idx="1">
                  <c:v>43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86-4FF0-9425-BCD6B7209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110592"/>
        <c:axId val="70370432"/>
        <c:axId val="0"/>
      </c:bar3DChart>
      <c:catAx>
        <c:axId val="70110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70370432"/>
        <c:crosses val="autoZero"/>
        <c:auto val="1"/>
        <c:lblAlgn val="ctr"/>
        <c:lblOffset val="100"/>
        <c:noMultiLvlLbl val="0"/>
      </c:catAx>
      <c:valAx>
        <c:axId val="703704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70110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Prévision des stocks fin de mois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0-FC4A-4430-BAC0-95936ACA11F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FC4A-4430-BAC0-95936ACA11F1}"/>
              </c:ext>
            </c:extLst>
          </c:dPt>
          <c:cat>
            <c:strRef>
              <c:f>Matières!$K$5:$K$6</c:f>
              <c:strCache>
                <c:ptCount val="2"/>
                <c:pt idx="0">
                  <c:v>plastique (t)</c:v>
                </c:pt>
                <c:pt idx="1">
                  <c:v>bois (m3)</c:v>
                </c:pt>
              </c:strCache>
            </c:strRef>
          </c:cat>
          <c:val>
            <c:numRef>
              <c:f>Matières!$L$5:$L$6</c:f>
              <c:numCache>
                <c:formatCode>#\ ##0.00_ ;[Red]\-#\ ##0.00\ </c:formatCode>
                <c:ptCount val="2"/>
                <c:pt idx="0">
                  <c:v>1.3999999999999986</c:v>
                </c:pt>
                <c:pt idx="1">
                  <c:v>0.69999999999999929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4A-4430-BAC0-95936ACA1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383872"/>
        <c:axId val="70713344"/>
        <c:axId val="0"/>
      </c:bar3DChart>
      <c:catAx>
        <c:axId val="70383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70713344"/>
        <c:crosses val="autoZero"/>
        <c:auto val="1"/>
        <c:lblAlgn val="ctr"/>
        <c:lblOffset val="100"/>
        <c:noMultiLvlLbl val="0"/>
      </c:catAx>
      <c:valAx>
        <c:axId val="70713344"/>
        <c:scaling>
          <c:orientation val="minMax"/>
        </c:scaling>
        <c:delete val="0"/>
        <c:axPos val="l"/>
        <c:majorGridlines/>
        <c:numFmt formatCode="#\ ##0.00_ ;[Red]\-#\ ##0.00\ " sourceLinked="1"/>
        <c:majorTickMark val="none"/>
        <c:minorTickMark val="none"/>
        <c:tickLblPos val="nextTo"/>
        <c:crossAx val="703838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Prévison des stocks de bateaux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0-B914-4AD6-A21B-B0DA11D462B2}"/>
              </c:ext>
            </c:extLst>
          </c:dPt>
          <c:dPt>
            <c:idx val="1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1-B914-4AD6-A21B-B0DA11D462B2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B914-4AD6-A21B-B0DA11D462B2}"/>
              </c:ext>
            </c:extLst>
          </c:dPt>
          <c:cat>
            <c:strRef>
              <c:f>Bateaux!$I$8:$I$10</c:f>
              <c:strCache>
                <c:ptCount val="3"/>
                <c:pt idx="0">
                  <c:v>Pech4</c:v>
                </c:pt>
                <c:pt idx="1">
                  <c:v>Prom5.5</c:v>
                </c:pt>
                <c:pt idx="2">
                  <c:v>Stan8</c:v>
                </c:pt>
              </c:strCache>
            </c:strRef>
          </c:cat>
          <c:val>
            <c:numRef>
              <c:f>Bateaux!$J$8:$J$10</c:f>
              <c:numCache>
                <c:formatCode>#\ ##0.00_ ;[Red]\-#\ ##0.00\ </c:formatCode>
                <c:ptCount val="3"/>
                <c:pt idx="0">
                  <c:v>36</c:v>
                </c:pt>
                <c:pt idx="1">
                  <c:v>43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14-4AD6-A21B-B0DA11D46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205120"/>
        <c:axId val="101206656"/>
        <c:axId val="0"/>
      </c:bar3DChart>
      <c:catAx>
        <c:axId val="1012051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01206656"/>
        <c:crosses val="autoZero"/>
        <c:auto val="1"/>
        <c:lblAlgn val="ctr"/>
        <c:lblOffset val="100"/>
        <c:noMultiLvlLbl val="0"/>
      </c:catAx>
      <c:valAx>
        <c:axId val="101206656"/>
        <c:scaling>
          <c:orientation val="minMax"/>
        </c:scaling>
        <c:delete val="0"/>
        <c:axPos val="l"/>
        <c:majorGridlines/>
        <c:numFmt formatCode="#\ ##0.00_ ;[Red]\-#\ ##0.00\ " sourceLinked="1"/>
        <c:majorTickMark val="none"/>
        <c:minorTickMark val="none"/>
        <c:tickLblPos val="nextTo"/>
        <c:crossAx val="101205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HTM disponibles ou manquantes (-)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dPt>
            <c:idx val="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FE84-4E67-915F-900C04A21427}"/>
              </c:ext>
            </c:extLst>
          </c:dPt>
          <c:cat>
            <c:strRef>
              <c:f>Ateliers!$H$4:$H$5</c:f>
              <c:strCache>
                <c:ptCount val="2"/>
                <c:pt idx="0">
                  <c:v>Moulage</c:v>
                </c:pt>
                <c:pt idx="1">
                  <c:v>Finition</c:v>
                </c:pt>
              </c:strCache>
            </c:strRef>
          </c:cat>
          <c:val>
            <c:numRef>
              <c:f>Ateliers!$I$4:$I$5</c:f>
              <c:numCache>
                <c:formatCode>#\ ##0.00_ ;[Red]\-#\ ##0.00\ </c:formatCode>
                <c:ptCount val="2"/>
                <c:pt idx="0">
                  <c:v>0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84-4E67-915F-900C04A21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285248"/>
        <c:axId val="157877376"/>
        <c:axId val="0"/>
      </c:bar3DChart>
      <c:catAx>
        <c:axId val="1012852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crossAx val="157877376"/>
        <c:crosses val="autoZero"/>
        <c:auto val="1"/>
        <c:lblAlgn val="ctr"/>
        <c:lblOffset val="100"/>
        <c:noMultiLvlLbl val="0"/>
      </c:catAx>
      <c:valAx>
        <c:axId val="157877376"/>
        <c:scaling>
          <c:orientation val="minMax"/>
        </c:scaling>
        <c:delete val="0"/>
        <c:axPos val="l"/>
        <c:majorGridlines/>
        <c:numFmt formatCode="#\ ##0.00_ ;[Red]\-#\ ##0.00\ " sourceLinked="1"/>
        <c:majorTickMark val="none"/>
        <c:minorTickMark val="none"/>
        <c:tickLblPos val="nextTo"/>
        <c:crossAx val="101285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8</xdr:row>
      <xdr:rowOff>47625</xdr:rowOff>
    </xdr:from>
    <xdr:to>
      <xdr:col>4</xdr:col>
      <xdr:colOff>533400</xdr:colOff>
      <xdr:row>9</xdr:row>
      <xdr:rowOff>142875</xdr:rowOff>
    </xdr:to>
    <xdr:sp macro="" textlink="">
      <xdr:nvSpPr>
        <xdr:cNvPr id="2" name="Flèche à angle droi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2943225" y="1676400"/>
          <a:ext cx="333375" cy="295275"/>
        </a:xfrm>
        <a:prstGeom prst="bentUpArrow">
          <a:avLst/>
        </a:prstGeom>
        <a:solidFill>
          <a:srgbClr val="FF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628650</xdr:colOff>
      <xdr:row>0</xdr:row>
      <xdr:rowOff>38099</xdr:rowOff>
    </xdr:from>
    <xdr:to>
      <xdr:col>14</xdr:col>
      <xdr:colOff>723900</xdr:colOff>
      <xdr:row>29</xdr:row>
      <xdr:rowOff>57149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0</xdr:row>
      <xdr:rowOff>57150</xdr:rowOff>
    </xdr:from>
    <xdr:to>
      <xdr:col>7</xdr:col>
      <xdr:colOff>600075</xdr:colOff>
      <xdr:row>14</xdr:row>
      <xdr:rowOff>142875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15</xdr:row>
      <xdr:rowOff>19050</xdr:rowOff>
    </xdr:from>
    <xdr:to>
      <xdr:col>7</xdr:col>
      <xdr:colOff>590550</xdr:colOff>
      <xdr:row>29</xdr:row>
      <xdr:rowOff>57150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57150</xdr:colOff>
      <xdr:row>35</xdr:row>
      <xdr:rowOff>142875</xdr:rowOff>
    </xdr:from>
    <xdr:to>
      <xdr:col>3</xdr:col>
      <xdr:colOff>190500</xdr:colOff>
      <xdr:row>55</xdr:row>
      <xdr:rowOff>38100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 bwMode="auto">
        <a:xfrm>
          <a:off x="57150" y="5810250"/>
          <a:ext cx="2790825" cy="742950"/>
        </a:xfrm>
        <a:prstGeom prst="rect">
          <a:avLst/>
        </a:prstGeom>
        <a:solidFill>
          <a:schemeClr val="bg1"/>
        </a:solidFill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19050</xdr:rowOff>
    </xdr:from>
    <xdr:to>
      <xdr:col>16</xdr:col>
      <xdr:colOff>180975</xdr:colOff>
      <xdr:row>23</xdr:row>
      <xdr:rowOff>161925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2</xdr:row>
      <xdr:rowOff>219075</xdr:rowOff>
    </xdr:from>
    <xdr:to>
      <xdr:col>15</xdr:col>
      <xdr:colOff>171450</xdr:colOff>
      <xdr:row>22</xdr:row>
      <xdr:rowOff>114300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381000</xdr:colOff>
      <xdr:row>3</xdr:row>
      <xdr:rowOff>0</xdr:rowOff>
    </xdr:from>
    <xdr:to>
      <xdr:col>7</xdr:col>
      <xdr:colOff>200025</xdr:colOff>
      <xdr:row>6</xdr:row>
      <xdr:rowOff>28575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 bwMode="auto">
        <a:xfrm>
          <a:off x="571500" y="685800"/>
          <a:ext cx="4857750" cy="714375"/>
        </a:xfrm>
        <a:prstGeom prst="rect">
          <a:avLst/>
        </a:prstGeom>
        <a:noFill/>
        <a:ln w="2857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lang="fr-FR" sz="1400"/>
            <a:t>La production mensuelle est ici égale aux objectifs , il vous faut  vérifier que ces objectifs</a:t>
          </a:r>
          <a:r>
            <a:rPr lang="fr-FR" sz="1400" baseline="0"/>
            <a:t> peuvent être atteints</a:t>
          </a:r>
          <a:endParaRPr lang="fr-FR" sz="1400"/>
        </a:p>
      </xdr:txBody>
    </xdr:sp>
    <xdr:clientData/>
  </xdr:twoCellAnchor>
  <xdr:twoCellAnchor>
    <xdr:from>
      <xdr:col>7</xdr:col>
      <xdr:colOff>200025</xdr:colOff>
      <xdr:row>6</xdr:row>
      <xdr:rowOff>28575</xdr:rowOff>
    </xdr:from>
    <xdr:to>
      <xdr:col>7</xdr:col>
      <xdr:colOff>209550</xdr:colOff>
      <xdr:row>10</xdr:row>
      <xdr:rowOff>123825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 bwMode="auto">
        <a:xfrm>
          <a:off x="5429250" y="1400175"/>
          <a:ext cx="9525" cy="895350"/>
        </a:xfrm>
        <a:prstGeom prst="line">
          <a:avLst/>
        </a:prstGeom>
        <a:solidFill>
          <a:srgbClr val="090000"/>
        </a:solidFill>
        <a:ln w="3810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828676</xdr:colOff>
      <xdr:row>10</xdr:row>
      <xdr:rowOff>123825</xdr:rowOff>
    </xdr:from>
    <xdr:to>
      <xdr:col>7</xdr:col>
      <xdr:colOff>238125</xdr:colOff>
      <xdr:row>10</xdr:row>
      <xdr:rowOff>123825</xdr:rowOff>
    </xdr:to>
    <xdr:cxnSp macro="">
      <xdr:nvCxnSpPr>
        <xdr:cNvPr id="8" name="Connecteur droit avec flèch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/>
      </xdr:nvCxnSpPr>
      <xdr:spPr bwMode="auto">
        <a:xfrm flipH="1">
          <a:off x="5210176" y="2295525"/>
          <a:ext cx="257174" cy="0"/>
        </a:xfrm>
        <a:prstGeom prst="straightConnector1">
          <a:avLst/>
        </a:prstGeom>
        <a:solidFill>
          <a:srgbClr val="090000"/>
        </a:solidFill>
        <a:ln w="38100" cap="flat" cmpd="sng" algn="ctr">
          <a:solidFill>
            <a:srgbClr val="0070C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66674</xdr:colOff>
      <xdr:row>2</xdr:row>
      <xdr:rowOff>161925</xdr:rowOff>
    </xdr:from>
    <xdr:to>
      <xdr:col>15</xdr:col>
      <xdr:colOff>571499</xdr:colOff>
      <xdr:row>24</xdr:row>
      <xdr:rowOff>76200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15</xdr:col>
      <xdr:colOff>485775</xdr:colOff>
      <xdr:row>2</xdr:row>
      <xdr:rowOff>66675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 bwMode="auto">
        <a:xfrm>
          <a:off x="6029325" y="228600"/>
          <a:ext cx="6391275" cy="295275"/>
        </a:xfrm>
        <a:prstGeom prst="rect">
          <a:avLst/>
        </a:prstGeom>
        <a:noFill/>
        <a:ln w="2857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lang="fr-FR" sz="1100" b="1"/>
            <a:t>Objectifs </a:t>
          </a:r>
          <a:r>
            <a:rPr lang="fr-FR" sz="1100" b="1" baseline="0"/>
            <a:t> impossibles à atteindre si insuffisance d'Heures de Travail  Machines</a:t>
          </a:r>
          <a:endParaRPr lang="fr-F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  <pageSetUpPr fitToPage="1"/>
  </sheetPr>
  <dimension ref="A1:P19"/>
  <sheetViews>
    <sheetView showGridLines="0" tabSelected="1" workbookViewId="0">
      <selection activeCell="A13" sqref="A13"/>
    </sheetView>
  </sheetViews>
  <sheetFormatPr baseColWidth="10" defaultRowHeight="12.5" x14ac:dyDescent="0.25"/>
  <cols>
    <col min="1" max="1" width="2.81640625" customWidth="1"/>
    <col min="6" max="6" width="13.453125" customWidth="1"/>
  </cols>
  <sheetData>
    <row r="1" spans="1:16" ht="25" x14ac:dyDescent="0.25">
      <c r="A1" s="230" t="s">
        <v>50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</row>
    <row r="2" spans="1:16" ht="25" x14ac:dyDescent="0.25">
      <c r="A2" s="56"/>
      <c r="B2" s="57"/>
      <c r="C2" s="57"/>
      <c r="D2" s="57"/>
      <c r="E2" s="232" t="s">
        <v>66</v>
      </c>
      <c r="F2" s="231"/>
      <c r="G2" s="233"/>
      <c r="H2" s="231"/>
      <c r="I2" s="231"/>
      <c r="J2" s="231"/>
      <c r="K2" s="231"/>
      <c r="L2" s="231"/>
      <c r="M2" s="231"/>
      <c r="N2" s="57"/>
      <c r="O2" s="57"/>
      <c r="P2" s="57"/>
    </row>
    <row r="3" spans="1:16" ht="20" x14ac:dyDescent="0.4">
      <c r="A3" s="34" t="s">
        <v>51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1:16" ht="20" x14ac:dyDescent="0.4">
      <c r="A4" s="35"/>
      <c r="B4" s="35" t="s">
        <v>67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1:16" ht="20" x14ac:dyDescent="0.4">
      <c r="A5" s="35"/>
      <c r="B5" s="35" t="s">
        <v>52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</row>
    <row r="6" spans="1:16" ht="20" x14ac:dyDescent="0.4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</row>
    <row r="7" spans="1:16" ht="20.5" thickBot="1" x14ac:dyDescent="0.45">
      <c r="A7" s="34" t="s">
        <v>53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</row>
    <row r="8" spans="1:16" ht="20.5" thickBot="1" x14ac:dyDescent="0.45">
      <c r="A8" s="35"/>
      <c r="B8" s="35" t="s">
        <v>54</v>
      </c>
      <c r="C8" s="35"/>
      <c r="D8" s="35"/>
      <c r="E8" s="35"/>
      <c r="F8" s="35"/>
      <c r="G8" s="36"/>
      <c r="H8" s="37"/>
      <c r="I8" s="35" t="s">
        <v>57</v>
      </c>
      <c r="J8" s="35"/>
      <c r="K8" s="35"/>
      <c r="L8" s="35"/>
      <c r="M8" s="35"/>
      <c r="N8" s="35"/>
      <c r="O8" s="35"/>
    </row>
    <row r="9" spans="1:16" ht="20.5" thickBot="1" x14ac:dyDescent="0.45">
      <c r="A9" s="35"/>
      <c r="B9" s="35" t="s">
        <v>55</v>
      </c>
      <c r="C9" s="35"/>
      <c r="D9" s="35"/>
      <c r="E9" s="35"/>
      <c r="F9" s="35"/>
      <c r="G9" s="38"/>
      <c r="H9" s="35"/>
      <c r="I9" s="35" t="s">
        <v>59</v>
      </c>
      <c r="J9" s="35"/>
      <c r="L9" s="35"/>
      <c r="M9" s="40"/>
      <c r="N9" s="35"/>
      <c r="O9" s="35"/>
    </row>
    <row r="10" spans="1:16" ht="20.5" thickBot="1" x14ac:dyDescent="0.45">
      <c r="A10" s="35"/>
      <c r="B10" s="35" t="s">
        <v>56</v>
      </c>
      <c r="C10" s="35"/>
      <c r="D10" s="35"/>
      <c r="E10" s="35"/>
      <c r="F10" s="35"/>
      <c r="G10" s="39"/>
      <c r="H10" s="35"/>
      <c r="I10" s="35"/>
      <c r="J10" s="35"/>
      <c r="K10" s="35"/>
      <c r="L10" s="35"/>
      <c r="M10" s="35"/>
      <c r="N10" s="35"/>
      <c r="O10" s="35"/>
    </row>
    <row r="11" spans="1:16" ht="20" x14ac:dyDescent="0.4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</row>
    <row r="12" spans="1:16" ht="20" x14ac:dyDescent="0.4">
      <c r="A12" s="34" t="s">
        <v>111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</row>
    <row r="13" spans="1:16" ht="20" x14ac:dyDescent="0.4">
      <c r="A13" s="35"/>
      <c r="B13" s="35" t="s">
        <v>70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</row>
    <row r="14" spans="1:16" ht="20" x14ac:dyDescent="0.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</row>
    <row r="15" spans="1:16" ht="20" x14ac:dyDescent="0.4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</row>
    <row r="16" spans="1:16" ht="20" x14ac:dyDescent="0.4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</row>
    <row r="17" spans="1:15" ht="20" x14ac:dyDescent="0.4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</row>
    <row r="18" spans="1:15" ht="20" x14ac:dyDescent="0.4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</row>
    <row r="19" spans="1:15" ht="20" x14ac:dyDescent="0.4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</row>
  </sheetData>
  <sheetProtection sheet="1" objects="1" scenarios="1"/>
  <mergeCells count="2">
    <mergeCell ref="A1:P1"/>
    <mergeCell ref="E2:M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pageSetUpPr fitToPage="1"/>
  </sheetPr>
  <dimension ref="A1:T65"/>
  <sheetViews>
    <sheetView showGridLines="0" workbookViewId="0">
      <selection activeCell="G21" sqref="G21"/>
    </sheetView>
  </sheetViews>
  <sheetFormatPr baseColWidth="10" defaultRowHeight="12.5" x14ac:dyDescent="0.25"/>
  <cols>
    <col min="1" max="1" width="3" customWidth="1"/>
    <col min="2" max="2" width="3.453125" customWidth="1"/>
    <col min="3" max="3" width="23.26953125" customWidth="1"/>
    <col min="6" max="6" width="14.1796875" customWidth="1"/>
    <col min="9" max="9" width="11.1796875" customWidth="1"/>
    <col min="10" max="11" width="2.26953125" customWidth="1"/>
    <col min="13" max="13" width="11.7265625" bestFit="1" customWidth="1"/>
    <col min="14" max="14" width="22.7265625" customWidth="1"/>
  </cols>
  <sheetData>
    <row r="1" spans="1:20" ht="18" x14ac:dyDescent="0.4">
      <c r="A1" s="7"/>
      <c r="B1" s="234" t="s">
        <v>71</v>
      </c>
      <c r="C1" s="234"/>
      <c r="D1" s="234"/>
      <c r="E1" s="234"/>
      <c r="F1" s="234"/>
      <c r="G1" s="234"/>
      <c r="H1" s="234"/>
      <c r="I1" s="234"/>
      <c r="J1" s="234"/>
      <c r="K1" s="234"/>
      <c r="L1" s="7"/>
      <c r="M1" s="7"/>
      <c r="N1" s="7"/>
    </row>
    <row r="2" spans="1:20" ht="15.5" x14ac:dyDescent="0.35">
      <c r="A2" s="7"/>
      <c r="B2" s="44"/>
      <c r="C2" s="44"/>
      <c r="D2" s="44"/>
      <c r="E2" s="44"/>
      <c r="F2" s="44"/>
      <c r="G2" s="44"/>
      <c r="H2" s="44"/>
      <c r="I2" s="44"/>
      <c r="J2" s="44"/>
      <c r="K2" s="44"/>
      <c r="L2" s="7"/>
      <c r="M2" s="7"/>
      <c r="N2" s="7"/>
    </row>
    <row r="3" spans="1:20" ht="15" customHeight="1" x14ac:dyDescent="0.35">
      <c r="A3" s="7"/>
      <c r="B3" s="29" t="s">
        <v>104</v>
      </c>
      <c r="C3" s="7"/>
      <c r="D3" s="26"/>
      <c r="E3" s="26"/>
      <c r="F3" s="26"/>
      <c r="G3" s="52"/>
      <c r="I3" s="30" t="s">
        <v>58</v>
      </c>
      <c r="J3" s="7"/>
      <c r="K3" s="7"/>
      <c r="L3" s="7"/>
      <c r="M3" s="7"/>
      <c r="O3" s="53"/>
    </row>
    <row r="4" spans="1:20" ht="15" customHeight="1" x14ac:dyDescent="0.35">
      <c r="A4" s="7"/>
      <c r="B4" s="29" t="s">
        <v>105</v>
      </c>
      <c r="C4" s="7"/>
      <c r="D4" s="26"/>
      <c r="E4" s="26"/>
      <c r="F4" s="26"/>
      <c r="G4" s="52"/>
      <c r="I4" s="46" t="s">
        <v>69</v>
      </c>
      <c r="J4" s="7"/>
      <c r="K4" s="7"/>
      <c r="L4" s="7"/>
      <c r="M4" s="7"/>
      <c r="O4" s="54"/>
    </row>
    <row r="5" spans="1:20" ht="16" thickBot="1" x14ac:dyDescent="0.4">
      <c r="A5" s="7"/>
      <c r="I5" s="46"/>
      <c r="J5" s="23"/>
      <c r="K5" s="7"/>
      <c r="L5" s="7"/>
      <c r="M5" s="58"/>
      <c r="N5" s="7"/>
    </row>
    <row r="6" spans="1:20" ht="16" thickBot="1" x14ac:dyDescent="0.4">
      <c r="A6" s="7"/>
      <c r="B6" s="235" t="s">
        <v>68</v>
      </c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7"/>
      <c r="R6" s="51"/>
    </row>
    <row r="7" spans="1:20" ht="15.5" x14ac:dyDescent="0.35">
      <c r="A7" s="7"/>
      <c r="B7" s="5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R7" s="51"/>
    </row>
    <row r="8" spans="1:20" ht="14.5" thickBot="1" x14ac:dyDescent="0.35">
      <c r="A8" s="7"/>
      <c r="B8" s="7"/>
      <c r="C8" s="62" t="s">
        <v>72</v>
      </c>
      <c r="D8" s="63"/>
      <c r="E8" s="111">
        <v>0</v>
      </c>
      <c r="F8" s="104" t="s">
        <v>73</v>
      </c>
      <c r="G8" s="106" t="str">
        <f>LOOKUP(D54,E54:E65,F54:F65)</f>
        <v>décembre</v>
      </c>
      <c r="H8" s="63" t="s">
        <v>86</v>
      </c>
      <c r="I8" s="63"/>
      <c r="J8" s="63"/>
      <c r="K8" s="64"/>
      <c r="L8" s="63"/>
      <c r="M8" s="106" t="str">
        <f>LOOKUP(D55,E54:E65,F54:F65)</f>
        <v>janvier</v>
      </c>
      <c r="N8" s="63"/>
      <c r="O8" s="62"/>
      <c r="P8" s="62"/>
      <c r="Q8" s="62"/>
      <c r="R8" s="51"/>
    </row>
    <row r="9" spans="1:20" ht="14.5" thickTop="1" x14ac:dyDescent="0.3">
      <c r="A9" s="7"/>
      <c r="B9" s="107"/>
      <c r="C9" s="108"/>
      <c r="D9" s="109"/>
      <c r="E9" s="103"/>
      <c r="F9" s="104"/>
      <c r="G9" s="110"/>
      <c r="H9" s="109"/>
      <c r="I9" s="109"/>
      <c r="J9" s="68"/>
      <c r="K9" s="69"/>
      <c r="L9" s="238" t="s">
        <v>60</v>
      </c>
      <c r="M9" s="239"/>
      <c r="N9" s="240"/>
      <c r="O9" s="67" t="s">
        <v>112</v>
      </c>
      <c r="P9" s="67" t="s">
        <v>113</v>
      </c>
      <c r="Q9" s="70" t="s">
        <v>114</v>
      </c>
      <c r="R9" s="28"/>
      <c r="S9" s="47"/>
      <c r="T9" s="47"/>
    </row>
    <row r="10" spans="1:20" ht="14" x14ac:dyDescent="0.3">
      <c r="A10" s="7"/>
      <c r="B10" s="107"/>
      <c r="C10" s="112" t="s">
        <v>87</v>
      </c>
      <c r="D10" s="109"/>
      <c r="E10" s="103"/>
      <c r="F10" s="104"/>
      <c r="G10" s="110"/>
      <c r="H10" s="109"/>
      <c r="I10" s="109"/>
      <c r="J10" s="69"/>
      <c r="K10" s="69"/>
      <c r="L10" s="74" t="s">
        <v>88</v>
      </c>
      <c r="M10" s="64"/>
      <c r="N10" s="64"/>
      <c r="O10" s="72">
        <v>32</v>
      </c>
      <c r="P10" s="72">
        <v>37</v>
      </c>
      <c r="Q10" s="75">
        <v>4</v>
      </c>
      <c r="R10" s="28"/>
      <c r="S10" s="50"/>
      <c r="T10" s="32"/>
    </row>
    <row r="11" spans="1:20" ht="14.5" thickBot="1" x14ac:dyDescent="0.35">
      <c r="A11" s="7"/>
      <c r="B11" s="107"/>
      <c r="C11" s="112"/>
      <c r="D11" s="109"/>
      <c r="E11" s="103"/>
      <c r="F11" s="104"/>
      <c r="G11" s="110"/>
      <c r="H11" s="109"/>
      <c r="I11" s="109"/>
      <c r="J11" s="69"/>
      <c r="K11" s="69"/>
      <c r="L11" s="74" t="s">
        <v>62</v>
      </c>
      <c r="M11" s="64"/>
      <c r="N11" s="64"/>
      <c r="O11" s="76">
        <v>46</v>
      </c>
      <c r="P11" s="76">
        <v>41</v>
      </c>
      <c r="Q11" s="77">
        <v>5</v>
      </c>
      <c r="R11" s="28"/>
      <c r="S11" s="50"/>
      <c r="T11" s="32"/>
    </row>
    <row r="12" spans="1:20" ht="15" thickTop="1" thickBot="1" x14ac:dyDescent="0.35">
      <c r="A12" s="7"/>
      <c r="B12" s="188"/>
      <c r="C12" s="189"/>
      <c r="D12" s="190"/>
      <c r="E12" s="191"/>
      <c r="F12" s="192" t="s">
        <v>110</v>
      </c>
      <c r="G12" s="194" t="str">
        <f>M8</f>
        <v>janvier</v>
      </c>
      <c r="H12" s="190"/>
      <c r="I12" s="193"/>
      <c r="J12" s="78"/>
      <c r="K12" s="69"/>
      <c r="L12" s="74" t="s">
        <v>43</v>
      </c>
      <c r="M12" s="64"/>
      <c r="N12" s="64"/>
      <c r="O12" s="76">
        <v>0</v>
      </c>
      <c r="P12" s="76">
        <v>0</v>
      </c>
      <c r="Q12" s="77">
        <v>0</v>
      </c>
      <c r="R12" s="28"/>
      <c r="S12" s="48"/>
      <c r="T12" s="48"/>
    </row>
    <row r="13" spans="1:20" ht="14.5" thickTop="1" x14ac:dyDescent="0.3">
      <c r="A13" s="7"/>
      <c r="B13" s="27"/>
      <c r="C13" s="65" t="s">
        <v>26</v>
      </c>
      <c r="D13" s="66"/>
      <c r="E13" s="66"/>
      <c r="F13" s="66"/>
      <c r="G13" s="67" t="s">
        <v>11</v>
      </c>
      <c r="H13" s="67" t="s">
        <v>12</v>
      </c>
      <c r="I13" s="70"/>
      <c r="J13" s="78"/>
      <c r="K13" s="69"/>
      <c r="L13" s="74" t="s">
        <v>44</v>
      </c>
      <c r="M13" s="64"/>
      <c r="N13" s="64"/>
      <c r="O13" s="76">
        <v>0</v>
      </c>
      <c r="P13" s="76">
        <v>0</v>
      </c>
      <c r="Q13" s="77">
        <v>0</v>
      </c>
      <c r="R13" s="28"/>
      <c r="S13" s="50"/>
      <c r="T13" s="50"/>
    </row>
    <row r="14" spans="1:20" ht="14" x14ac:dyDescent="0.3">
      <c r="B14" s="24"/>
      <c r="C14" s="71"/>
      <c r="D14" s="64" t="s">
        <v>88</v>
      </c>
      <c r="E14" s="64"/>
      <c r="F14" s="64"/>
      <c r="G14" s="72">
        <v>2</v>
      </c>
      <c r="H14" s="72">
        <v>1</v>
      </c>
      <c r="I14" s="73"/>
      <c r="J14" s="79"/>
      <c r="K14" s="69"/>
      <c r="L14" s="74"/>
      <c r="M14" s="64"/>
      <c r="N14" s="64"/>
      <c r="O14" s="80" t="s">
        <v>23</v>
      </c>
      <c r="P14" s="80" t="s">
        <v>24</v>
      </c>
      <c r="Q14" s="81"/>
      <c r="R14" s="28"/>
      <c r="S14" s="50"/>
      <c r="T14" s="50"/>
    </row>
    <row r="15" spans="1:20" ht="14" x14ac:dyDescent="0.3">
      <c r="B15" s="24"/>
      <c r="C15" s="64"/>
      <c r="D15" s="64" t="s">
        <v>61</v>
      </c>
      <c r="E15" s="64"/>
      <c r="F15" s="64"/>
      <c r="G15" s="76">
        <v>30</v>
      </c>
      <c r="H15" s="76">
        <v>15</v>
      </c>
      <c r="I15" s="73"/>
      <c r="J15" s="82"/>
      <c r="K15" s="69"/>
      <c r="L15" s="83" t="s">
        <v>108</v>
      </c>
      <c r="M15" s="64"/>
      <c r="N15" s="64"/>
      <c r="O15" s="72">
        <v>5</v>
      </c>
      <c r="P15" s="72">
        <v>6</v>
      </c>
      <c r="Q15" s="73"/>
      <c r="R15" s="28"/>
      <c r="S15" s="50"/>
      <c r="T15" s="50"/>
    </row>
    <row r="16" spans="1:20" ht="14" x14ac:dyDescent="0.3">
      <c r="B16" s="24"/>
      <c r="C16" s="64"/>
      <c r="D16" s="64" t="s">
        <v>43</v>
      </c>
      <c r="E16" s="64"/>
      <c r="F16" s="64"/>
      <c r="G16" s="76">
        <v>0</v>
      </c>
      <c r="H16" s="76">
        <v>0</v>
      </c>
      <c r="I16" s="73"/>
      <c r="J16" s="82"/>
      <c r="K16" s="64"/>
      <c r="L16" s="74" t="s">
        <v>106</v>
      </c>
      <c r="M16" s="64"/>
      <c r="N16" s="64"/>
      <c r="O16" s="76">
        <v>0</v>
      </c>
      <c r="P16" s="76">
        <v>0</v>
      </c>
      <c r="Q16" s="73"/>
      <c r="R16" s="28"/>
      <c r="S16" s="50"/>
      <c r="T16" s="50"/>
    </row>
    <row r="17" spans="1:20" ht="14.5" thickBot="1" x14ac:dyDescent="0.35">
      <c r="B17" s="24"/>
      <c r="C17" s="64"/>
      <c r="D17" s="64" t="s">
        <v>44</v>
      </c>
      <c r="E17" s="64"/>
      <c r="F17" s="64"/>
      <c r="G17" s="76">
        <v>0</v>
      </c>
      <c r="H17" s="76">
        <v>0</v>
      </c>
      <c r="I17" s="73"/>
      <c r="J17" s="86"/>
      <c r="K17" s="64"/>
      <c r="L17" s="74" t="s">
        <v>107</v>
      </c>
      <c r="M17" s="64"/>
      <c r="N17" s="64"/>
      <c r="O17" s="76">
        <v>0</v>
      </c>
      <c r="P17" s="76">
        <v>0</v>
      </c>
      <c r="Q17" s="73"/>
      <c r="R17" s="28"/>
      <c r="S17" s="32"/>
      <c r="T17" s="32"/>
    </row>
    <row r="18" spans="1:20" ht="14.5" thickTop="1" x14ac:dyDescent="0.3">
      <c r="B18" s="27"/>
      <c r="C18" s="65" t="s">
        <v>27</v>
      </c>
      <c r="D18" s="66"/>
      <c r="E18" s="66"/>
      <c r="F18" s="66"/>
      <c r="G18" s="67" t="s">
        <v>112</v>
      </c>
      <c r="H18" s="67" t="s">
        <v>113</v>
      </c>
      <c r="I18" s="70" t="s">
        <v>114</v>
      </c>
      <c r="J18" s="62"/>
      <c r="K18" s="64"/>
      <c r="L18" s="83" t="s">
        <v>109</v>
      </c>
      <c r="M18" s="64"/>
      <c r="N18" s="64"/>
      <c r="O18" s="87">
        <v>200</v>
      </c>
      <c r="P18" s="87">
        <v>200</v>
      </c>
      <c r="Q18" s="73"/>
      <c r="R18" s="28"/>
      <c r="S18" s="51"/>
      <c r="T18" s="51"/>
    </row>
    <row r="19" spans="1:20" ht="14.5" thickBot="1" x14ac:dyDescent="0.35">
      <c r="B19" s="95"/>
      <c r="C19" s="96"/>
      <c r="D19" s="96" t="s">
        <v>63</v>
      </c>
      <c r="E19" s="96"/>
      <c r="F19" s="96"/>
      <c r="G19" s="97">
        <v>42</v>
      </c>
      <c r="H19" s="97">
        <v>35</v>
      </c>
      <c r="I19" s="98">
        <v>5</v>
      </c>
      <c r="J19" s="62"/>
      <c r="K19" s="64"/>
      <c r="L19" s="74"/>
      <c r="M19" s="64"/>
      <c r="N19" s="64"/>
      <c r="O19" s="88"/>
      <c r="P19" s="88"/>
      <c r="Q19" s="89"/>
      <c r="R19" s="28"/>
    </row>
    <row r="20" spans="1:20" ht="14.5" thickTop="1" x14ac:dyDescent="0.3">
      <c r="B20" s="7"/>
      <c r="C20" s="85"/>
      <c r="D20" s="63"/>
      <c r="E20" s="63"/>
      <c r="F20" s="63"/>
      <c r="G20" s="86"/>
      <c r="H20" s="86"/>
      <c r="I20" s="86"/>
      <c r="J20" s="62"/>
      <c r="K20" s="64"/>
      <c r="L20" s="74"/>
      <c r="M20" s="64"/>
      <c r="N20" s="64"/>
      <c r="O20" s="80" t="s">
        <v>112</v>
      </c>
      <c r="P20" s="80" t="s">
        <v>113</v>
      </c>
      <c r="Q20" s="90" t="s">
        <v>114</v>
      </c>
      <c r="R20" s="61"/>
    </row>
    <row r="21" spans="1:20" ht="14" x14ac:dyDescent="0.3">
      <c r="C21" s="62"/>
      <c r="D21" s="62"/>
      <c r="E21" s="62"/>
      <c r="F21" s="62"/>
      <c r="G21" s="62"/>
      <c r="H21" s="62"/>
      <c r="I21" s="62"/>
      <c r="J21" s="62"/>
      <c r="K21" s="64"/>
      <c r="L21" s="83" t="s">
        <v>46</v>
      </c>
      <c r="M21" s="64"/>
      <c r="N21" s="64"/>
      <c r="O21" s="87">
        <v>0.2</v>
      </c>
      <c r="P21" s="87">
        <v>0.4</v>
      </c>
      <c r="Q21" s="91">
        <v>1</v>
      </c>
      <c r="R21" s="61"/>
    </row>
    <row r="22" spans="1:20" ht="16.5" x14ac:dyDescent="0.3">
      <c r="C22" s="62"/>
      <c r="D22" s="62"/>
      <c r="E22" s="62"/>
      <c r="F22" s="62"/>
      <c r="G22" s="62"/>
      <c r="H22" s="62"/>
      <c r="I22" s="62"/>
      <c r="J22" s="62"/>
      <c r="K22" s="64"/>
      <c r="L22" s="83" t="s">
        <v>64</v>
      </c>
      <c r="M22" s="64"/>
      <c r="N22" s="64"/>
      <c r="O22" s="87">
        <v>0.1</v>
      </c>
      <c r="P22" s="87">
        <v>0.2</v>
      </c>
      <c r="Q22" s="91">
        <v>0.5</v>
      </c>
      <c r="R22" s="61"/>
    </row>
    <row r="23" spans="1:20" ht="14" x14ac:dyDescent="0.3">
      <c r="C23" s="62"/>
      <c r="D23" s="62"/>
      <c r="E23" s="62"/>
      <c r="F23" s="62"/>
      <c r="G23" s="62"/>
      <c r="H23" s="62"/>
      <c r="I23" s="62"/>
      <c r="J23" s="62"/>
      <c r="K23" s="64"/>
      <c r="L23" s="83" t="s">
        <v>47</v>
      </c>
      <c r="M23" s="64"/>
      <c r="N23" s="64"/>
      <c r="O23" s="87">
        <v>8</v>
      </c>
      <c r="P23" s="87">
        <v>12</v>
      </c>
      <c r="Q23" s="91">
        <v>28</v>
      </c>
      <c r="R23" s="61"/>
    </row>
    <row r="24" spans="1:20" ht="14.5" thickBot="1" x14ac:dyDescent="0.35">
      <c r="C24" s="62"/>
      <c r="D24" s="62"/>
      <c r="E24" s="62"/>
      <c r="F24" s="62"/>
      <c r="G24" s="62"/>
      <c r="H24" s="62"/>
      <c r="I24" s="62"/>
      <c r="J24" s="62"/>
      <c r="K24" s="64"/>
      <c r="L24" s="92" t="s">
        <v>48</v>
      </c>
      <c r="M24" s="84"/>
      <c r="N24" s="84"/>
      <c r="O24" s="93">
        <v>10</v>
      </c>
      <c r="P24" s="93">
        <v>14</v>
      </c>
      <c r="Q24" s="94">
        <v>28</v>
      </c>
      <c r="R24" s="61"/>
    </row>
    <row r="25" spans="1:20" ht="14.5" thickTop="1" x14ac:dyDescent="0.3">
      <c r="C25" s="62"/>
      <c r="D25" s="62"/>
      <c r="E25" s="62"/>
      <c r="F25" s="62"/>
      <c r="G25" s="62"/>
      <c r="H25" s="62"/>
      <c r="I25" s="62"/>
      <c r="K25" s="25"/>
      <c r="L25" s="32"/>
      <c r="M25" s="50"/>
      <c r="N25" s="50"/>
      <c r="O25" s="59"/>
      <c r="R25" s="51"/>
    </row>
    <row r="26" spans="1:20" ht="14" x14ac:dyDescent="0.3">
      <c r="C26" s="62"/>
      <c r="D26" s="62"/>
      <c r="E26" s="62"/>
      <c r="F26" s="62"/>
      <c r="G26" s="62"/>
      <c r="H26" s="62"/>
      <c r="I26" s="62"/>
      <c r="K26" s="25"/>
      <c r="L26" s="32"/>
      <c r="M26" s="50"/>
      <c r="N26" s="50"/>
      <c r="O26" s="59"/>
      <c r="R26" s="59"/>
    </row>
    <row r="27" spans="1:20" ht="14" x14ac:dyDescent="0.3">
      <c r="C27" s="62"/>
      <c r="D27" s="62"/>
      <c r="E27" s="62"/>
      <c r="F27" s="62"/>
      <c r="G27" s="62"/>
      <c r="I27" s="62"/>
      <c r="K27" s="25"/>
      <c r="L27" s="32"/>
      <c r="M27" s="50"/>
      <c r="N27" s="50"/>
      <c r="O27" s="59"/>
    </row>
    <row r="28" spans="1:20" x14ac:dyDescent="0.25">
      <c r="K28" s="25"/>
      <c r="L28" s="47"/>
      <c r="M28" s="49"/>
      <c r="N28" s="47"/>
      <c r="O28" s="59"/>
    </row>
    <row r="29" spans="1:20" x14ac:dyDescent="0.25">
      <c r="K29" s="25"/>
      <c r="L29" s="28"/>
      <c r="M29" s="28"/>
      <c r="N29" s="50"/>
      <c r="O29" s="59"/>
    </row>
    <row r="30" spans="1:20" x14ac:dyDescent="0.25">
      <c r="K30" s="25"/>
      <c r="L30" s="28"/>
      <c r="M30" s="28"/>
      <c r="N30" s="50"/>
      <c r="O30" s="59"/>
    </row>
    <row r="31" spans="1:20" ht="13" x14ac:dyDescent="0.3">
      <c r="A31" s="7"/>
      <c r="K31" s="25"/>
      <c r="L31" s="60"/>
      <c r="M31" s="60"/>
      <c r="N31" s="60"/>
      <c r="O31" s="59"/>
    </row>
    <row r="32" spans="1:20" x14ac:dyDescent="0.25">
      <c r="A32" s="7"/>
      <c r="K32" s="25"/>
      <c r="L32" s="47"/>
      <c r="M32" s="47"/>
      <c r="N32" s="47"/>
      <c r="O32" s="59"/>
    </row>
    <row r="33" spans="1:15" x14ac:dyDescent="0.25">
      <c r="A33" s="7"/>
      <c r="K33" s="25"/>
      <c r="L33" s="49"/>
      <c r="M33" s="49"/>
      <c r="N33" s="49"/>
      <c r="O33" s="59"/>
    </row>
    <row r="34" spans="1:15" ht="13" x14ac:dyDescent="0.3">
      <c r="A34" s="7"/>
      <c r="K34" s="31"/>
    </row>
    <row r="35" spans="1:15" x14ac:dyDescent="0.25">
      <c r="J35" s="7"/>
      <c r="K35" s="25"/>
    </row>
    <row r="36" spans="1:15" x14ac:dyDescent="0.25">
      <c r="J36" s="7"/>
      <c r="K36" s="7"/>
    </row>
    <row r="37" spans="1:15" x14ac:dyDescent="0.25">
      <c r="H37" s="7"/>
    </row>
    <row r="38" spans="1:15" x14ac:dyDescent="0.25">
      <c r="B38" s="7"/>
      <c r="C38" s="7"/>
      <c r="D38" s="7"/>
      <c r="E38" s="7"/>
      <c r="F38" s="7"/>
      <c r="G38" s="7"/>
      <c r="H38" s="7"/>
      <c r="I38" s="7"/>
    </row>
    <row r="39" spans="1:15" x14ac:dyDescent="0.25">
      <c r="B39" s="7"/>
      <c r="C39" s="7"/>
      <c r="D39" s="7"/>
      <c r="E39" s="7"/>
      <c r="F39" s="7"/>
      <c r="G39" s="7"/>
      <c r="I39" s="7"/>
    </row>
    <row r="40" spans="1:15" x14ac:dyDescent="0.25">
      <c r="D40" s="7"/>
    </row>
    <row r="41" spans="1:15" x14ac:dyDescent="0.25">
      <c r="D41" s="7"/>
    </row>
    <row r="42" spans="1:15" x14ac:dyDescent="0.25">
      <c r="D42" s="7"/>
    </row>
    <row r="43" spans="1:15" x14ac:dyDescent="0.25">
      <c r="D43" s="7"/>
    </row>
    <row r="44" spans="1:15" x14ac:dyDescent="0.25">
      <c r="D44" s="7"/>
    </row>
    <row r="52" spans="4:6" ht="5.25" customHeight="1" x14ac:dyDescent="0.25"/>
    <row r="53" spans="4:6" ht="5.25" customHeight="1" x14ac:dyDescent="0.25"/>
    <row r="54" spans="4:6" ht="5.25" customHeight="1" x14ac:dyDescent="0.25">
      <c r="D54">
        <f>MOD(E8,12)</f>
        <v>0</v>
      </c>
      <c r="E54">
        <v>0</v>
      </c>
      <c r="F54" s="105" t="s">
        <v>74</v>
      </c>
    </row>
    <row r="55" spans="4:6" ht="5.25" customHeight="1" x14ac:dyDescent="0.25">
      <c r="D55">
        <f>MOD(E8+1,12)</f>
        <v>1</v>
      </c>
      <c r="E55">
        <v>1</v>
      </c>
      <c r="F55" s="105" t="s">
        <v>75</v>
      </c>
    </row>
    <row r="56" spans="4:6" ht="5.25" customHeight="1" x14ac:dyDescent="0.25">
      <c r="E56">
        <v>2</v>
      </c>
      <c r="F56" s="105" t="s">
        <v>76</v>
      </c>
    </row>
    <row r="57" spans="4:6" ht="5.25" customHeight="1" x14ac:dyDescent="0.25">
      <c r="E57">
        <v>3</v>
      </c>
      <c r="F57" s="105" t="s">
        <v>77</v>
      </c>
    </row>
    <row r="58" spans="4:6" ht="5.25" customHeight="1" x14ac:dyDescent="0.25">
      <c r="E58">
        <v>4</v>
      </c>
      <c r="F58" s="105" t="s">
        <v>78</v>
      </c>
    </row>
    <row r="59" spans="4:6" ht="5.25" customHeight="1" x14ac:dyDescent="0.25">
      <c r="E59">
        <v>5</v>
      </c>
      <c r="F59" s="105" t="s">
        <v>79</v>
      </c>
    </row>
    <row r="60" spans="4:6" ht="5.25" customHeight="1" x14ac:dyDescent="0.25">
      <c r="E60">
        <v>6</v>
      </c>
      <c r="F60" s="105" t="s">
        <v>80</v>
      </c>
    </row>
    <row r="61" spans="4:6" ht="5.25" customHeight="1" x14ac:dyDescent="0.25">
      <c r="E61">
        <v>7</v>
      </c>
      <c r="F61" s="105" t="s">
        <v>81</v>
      </c>
    </row>
    <row r="62" spans="4:6" ht="5.25" customHeight="1" x14ac:dyDescent="0.25">
      <c r="E62">
        <v>8</v>
      </c>
      <c r="F62" s="105" t="s">
        <v>82</v>
      </c>
    </row>
    <row r="63" spans="4:6" ht="5.25" customHeight="1" x14ac:dyDescent="0.25">
      <c r="E63">
        <v>9</v>
      </c>
      <c r="F63" s="105" t="s">
        <v>83</v>
      </c>
    </row>
    <row r="64" spans="4:6" ht="5.25" customHeight="1" x14ac:dyDescent="0.25">
      <c r="E64">
        <v>10</v>
      </c>
      <c r="F64" s="105" t="s">
        <v>84</v>
      </c>
    </row>
    <row r="65" spans="5:6" x14ac:dyDescent="0.25">
      <c r="E65">
        <v>11</v>
      </c>
      <c r="F65" s="105" t="s">
        <v>85</v>
      </c>
    </row>
  </sheetData>
  <sheetProtection sheet="1" objects="1" scenarios="1"/>
  <mergeCells count="3">
    <mergeCell ref="B1:K1"/>
    <mergeCell ref="B6:N6"/>
    <mergeCell ref="L9:N9"/>
  </mergeCells>
  <phoneticPr fontId="0" type="noConversion"/>
  <printOptions verticalCentered="1"/>
  <pageMargins left="0" right="0" top="0.98425196850393704" bottom="0.98425196850393704" header="0.51181102362204722" footer="0.51181102362204722"/>
  <pageSetup paperSize="9" scale="79" fitToHeight="3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4:M63"/>
  <sheetViews>
    <sheetView showGridLines="0" workbookViewId="0">
      <selection activeCell="F34" sqref="F34"/>
    </sheetView>
  </sheetViews>
  <sheetFormatPr baseColWidth="10" defaultRowHeight="12.5" x14ac:dyDescent="0.25"/>
  <cols>
    <col min="1" max="1" width="17" customWidth="1"/>
  </cols>
  <sheetData>
    <row r="4" spans="2:13" x14ac:dyDescent="0.25">
      <c r="B4" s="187" t="s">
        <v>93</v>
      </c>
      <c r="C4" s="187">
        <f>Matières!H13</f>
        <v>1.3999999999999986</v>
      </c>
      <c r="D4" s="187"/>
      <c r="E4" s="187"/>
      <c r="F4" s="187"/>
      <c r="G4" s="187"/>
      <c r="H4" s="187"/>
      <c r="I4" s="187"/>
      <c r="J4" s="187" t="s">
        <v>102</v>
      </c>
      <c r="K4" s="187">
        <f>Ateliers!$G$13</f>
        <v>0</v>
      </c>
      <c r="L4" s="187"/>
      <c r="M4" s="187"/>
    </row>
    <row r="5" spans="2:13" x14ac:dyDescent="0.25">
      <c r="B5" s="187" t="s">
        <v>94</v>
      </c>
      <c r="C5" s="187">
        <f>Matières!H24</f>
        <v>0.69999999999999929</v>
      </c>
      <c r="D5" s="187"/>
      <c r="E5" s="187"/>
      <c r="F5" s="187"/>
      <c r="G5" s="187"/>
      <c r="H5" s="187"/>
      <c r="I5" s="187"/>
      <c r="J5" s="187" t="s">
        <v>103</v>
      </c>
      <c r="K5" s="187">
        <f>Ateliers!$G$25</f>
        <v>26</v>
      </c>
      <c r="L5" s="187"/>
      <c r="M5" s="187"/>
    </row>
    <row r="6" spans="2:13" x14ac:dyDescent="0.25"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</row>
    <row r="7" spans="2:13" x14ac:dyDescent="0.25">
      <c r="B7" s="187"/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</row>
    <row r="8" spans="2:13" x14ac:dyDescent="0.25">
      <c r="B8" s="187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</row>
    <row r="9" spans="2:13" x14ac:dyDescent="0.25"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</row>
    <row r="10" spans="2:13" x14ac:dyDescent="0.25">
      <c r="B10" s="187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</row>
    <row r="11" spans="2:13" x14ac:dyDescent="0.25"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</row>
    <row r="12" spans="2:13" x14ac:dyDescent="0.25">
      <c r="B12" s="187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</row>
    <row r="13" spans="2:13" x14ac:dyDescent="0.25">
      <c r="B13" s="187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</row>
    <row r="14" spans="2:13" x14ac:dyDescent="0.25">
      <c r="B14" s="187"/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</row>
    <row r="15" spans="2:13" x14ac:dyDescent="0.25">
      <c r="B15" s="187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</row>
    <row r="16" spans="2:13" x14ac:dyDescent="0.25"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</row>
    <row r="17" spans="2:13" x14ac:dyDescent="0.25"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</row>
    <row r="18" spans="2:13" x14ac:dyDescent="0.25">
      <c r="B18" s="187" t="s">
        <v>112</v>
      </c>
      <c r="C18" s="187">
        <f>Bateaux!E15</f>
        <v>36</v>
      </c>
      <c r="D18" s="187"/>
      <c r="E18" s="187"/>
      <c r="F18" s="187"/>
      <c r="G18" s="187"/>
      <c r="H18" s="187"/>
      <c r="I18" s="187"/>
      <c r="J18" s="187"/>
      <c r="K18" s="187"/>
      <c r="L18" s="187"/>
      <c r="M18" s="187"/>
    </row>
    <row r="19" spans="2:13" x14ac:dyDescent="0.25">
      <c r="B19" s="187" t="s">
        <v>113</v>
      </c>
      <c r="C19" s="187">
        <f>Bateaux!F15</f>
        <v>43</v>
      </c>
      <c r="D19" s="187"/>
      <c r="E19" s="187"/>
      <c r="F19" s="187"/>
      <c r="G19" s="187"/>
      <c r="H19" s="187"/>
      <c r="I19" s="187"/>
      <c r="J19" s="187"/>
      <c r="K19" s="187"/>
      <c r="L19" s="187"/>
      <c r="M19" s="187"/>
    </row>
    <row r="20" spans="2:13" x14ac:dyDescent="0.25">
      <c r="B20" s="187" t="s">
        <v>114</v>
      </c>
      <c r="C20" s="187">
        <f>Bateaux!G15</f>
        <v>4</v>
      </c>
      <c r="D20" s="187"/>
      <c r="E20" s="187"/>
      <c r="F20" s="187"/>
      <c r="G20" s="187"/>
      <c r="H20" s="187"/>
      <c r="I20" s="187"/>
      <c r="J20" s="187"/>
      <c r="K20" s="187"/>
      <c r="L20" s="187"/>
      <c r="M20" s="187"/>
    </row>
    <row r="21" spans="2:13" x14ac:dyDescent="0.25"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</row>
    <row r="22" spans="2:13" x14ac:dyDescent="0.25"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</row>
    <row r="23" spans="2:13" x14ac:dyDescent="0.25"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</row>
    <row r="24" spans="2:13" x14ac:dyDescent="0.25"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</row>
    <row r="25" spans="2:13" x14ac:dyDescent="0.25"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</row>
    <row r="26" spans="2:13" x14ac:dyDescent="0.25">
      <c r="B26" s="187"/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M26" s="187"/>
    </row>
    <row r="27" spans="2:13" x14ac:dyDescent="0.25">
      <c r="B27" s="187"/>
      <c r="C27" s="187"/>
      <c r="D27" s="187"/>
      <c r="E27" s="187"/>
      <c r="F27" s="187"/>
      <c r="G27" s="187"/>
      <c r="H27" s="187"/>
      <c r="I27" s="187"/>
      <c r="J27" s="187"/>
      <c r="K27" s="187"/>
      <c r="L27" s="187"/>
      <c r="M27" s="187"/>
    </row>
    <row r="28" spans="2:13" x14ac:dyDescent="0.25">
      <c r="B28" s="187"/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</row>
    <row r="29" spans="2:13" x14ac:dyDescent="0.25"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</row>
    <row r="37" spans="1:4" ht="6" customHeight="1" x14ac:dyDescent="0.25"/>
    <row r="38" spans="1:4" ht="2.25" customHeight="1" x14ac:dyDescent="0.25"/>
    <row r="39" spans="1:4" ht="2.25" customHeight="1" x14ac:dyDescent="0.25">
      <c r="B39" s="9" t="s">
        <v>34</v>
      </c>
      <c r="C39" s="9" t="s">
        <v>35</v>
      </c>
      <c r="D39" s="9" t="s">
        <v>36</v>
      </c>
    </row>
    <row r="40" spans="1:4" ht="2.25" customHeight="1" x14ac:dyDescent="0.25">
      <c r="A40" t="s">
        <v>29</v>
      </c>
      <c r="B40">
        <f>Matières!H13</f>
        <v>1.3999999999999986</v>
      </c>
      <c r="C40" t="e">
        <f>Matières!#REF!</f>
        <v>#REF!</v>
      </c>
      <c r="D40">
        <f>Matières!H24</f>
        <v>0.69999999999999929</v>
      </c>
    </row>
    <row r="41" spans="1:4" ht="2.25" customHeight="1" x14ac:dyDescent="0.25">
      <c r="A41" t="s">
        <v>30</v>
      </c>
      <c r="B41" t="e">
        <f>#REF!</f>
        <v>#REF!</v>
      </c>
      <c r="C41" t="e">
        <f>#REF!</f>
        <v>#REF!</v>
      </c>
      <c r="D41" t="e">
        <f>#REF!</f>
        <v>#REF!</v>
      </c>
    </row>
    <row r="42" spans="1:4" ht="2.25" customHeight="1" x14ac:dyDescent="0.25">
      <c r="B42" s="9" t="s">
        <v>23</v>
      </c>
      <c r="C42" s="9" t="s">
        <v>24</v>
      </c>
    </row>
    <row r="43" spans="1:4" ht="2.25" customHeight="1" x14ac:dyDescent="0.25">
      <c r="A43" t="s">
        <v>31</v>
      </c>
      <c r="B43">
        <f>Ateliers!G12</f>
        <v>1000</v>
      </c>
      <c r="C43">
        <f>Ateliers!G24</f>
        <v>1174</v>
      </c>
    </row>
    <row r="44" spans="1:4" ht="2.25" customHeight="1" x14ac:dyDescent="0.25">
      <c r="A44" t="s">
        <v>32</v>
      </c>
      <c r="B44">
        <f>Ateliers!G9</f>
        <v>1000</v>
      </c>
      <c r="C44">
        <f>Ateliers!G21</f>
        <v>1200</v>
      </c>
    </row>
    <row r="45" spans="1:4" ht="2.25" customHeight="1" x14ac:dyDescent="0.25">
      <c r="A45" t="s">
        <v>37</v>
      </c>
      <c r="B45">
        <f>B43/B44</f>
        <v>1</v>
      </c>
      <c r="C45">
        <f>C43/C44</f>
        <v>0.97833333333333339</v>
      </c>
    </row>
    <row r="46" spans="1:4" ht="2.25" customHeight="1" x14ac:dyDescent="0.25">
      <c r="B46" s="9" t="s">
        <v>34</v>
      </c>
      <c r="C46" s="9" t="s">
        <v>35</v>
      </c>
      <c r="D46" s="9" t="s">
        <v>36</v>
      </c>
    </row>
    <row r="47" spans="1:4" ht="2.25" customHeight="1" x14ac:dyDescent="0.25">
      <c r="A47" s="8" t="s">
        <v>0</v>
      </c>
      <c r="B47">
        <f>Bateaux!E15</f>
        <v>36</v>
      </c>
      <c r="C47" t="e">
        <f>Bateaux!#REF!</f>
        <v>#REF!</v>
      </c>
      <c r="D47" t="e">
        <f>Bateaux!#REF!</f>
        <v>#REF!</v>
      </c>
    </row>
    <row r="48" spans="1:4" ht="2.25" customHeight="1" x14ac:dyDescent="0.25">
      <c r="A48" s="8" t="s">
        <v>1</v>
      </c>
      <c r="B48">
        <f>Bateaux!F15</f>
        <v>43</v>
      </c>
      <c r="C48" t="e">
        <f>Bateaux!#REF!</f>
        <v>#REF!</v>
      </c>
      <c r="D48" t="e">
        <f>Bateaux!#REF!</f>
        <v>#REF!</v>
      </c>
    </row>
    <row r="49" spans="1:4" ht="2.25" customHeight="1" x14ac:dyDescent="0.25">
      <c r="A49" s="8" t="s">
        <v>2</v>
      </c>
      <c r="B49">
        <f>Bateaux!G15</f>
        <v>4</v>
      </c>
      <c r="C49" t="e">
        <f>Bateaux!#REF!</f>
        <v>#REF!</v>
      </c>
      <c r="D49" t="e">
        <f>Bateaux!#REF!</f>
        <v>#REF!</v>
      </c>
    </row>
    <row r="50" spans="1:4" ht="2.25" customHeight="1" x14ac:dyDescent="0.25">
      <c r="B50" s="9" t="s">
        <v>0</v>
      </c>
      <c r="C50" s="9" t="s">
        <v>1</v>
      </c>
      <c r="D50" s="9" t="s">
        <v>2</v>
      </c>
    </row>
    <row r="51" spans="1:4" ht="2.25" customHeight="1" x14ac:dyDescent="0.25">
      <c r="A51" t="s">
        <v>38</v>
      </c>
      <c r="B51" s="10" t="e">
        <f>100*#REF!</f>
        <v>#REF!</v>
      </c>
      <c r="C51" s="11" t="e">
        <f>100*#REF!</f>
        <v>#REF!</v>
      </c>
      <c r="D51" s="10" t="e">
        <f>100*#REF!</f>
        <v>#REF!</v>
      </c>
    </row>
    <row r="52" spans="1:4" ht="2.25" customHeight="1" x14ac:dyDescent="0.25">
      <c r="A52" t="s">
        <v>33</v>
      </c>
      <c r="B52" s="10" t="e">
        <f>#REF!/1000</f>
        <v>#REF!</v>
      </c>
      <c r="C52" s="10" t="e">
        <f>#REF!/1000</f>
        <v>#REF!</v>
      </c>
      <c r="D52" s="10" t="e">
        <f>#REF!/1000</f>
        <v>#REF!</v>
      </c>
    </row>
    <row r="53" spans="1:4" ht="2.25" customHeight="1" x14ac:dyDescent="0.25"/>
    <row r="54" spans="1:4" ht="6" customHeight="1" x14ac:dyDescent="0.25"/>
    <row r="55" spans="1:4" ht="6" customHeight="1" x14ac:dyDescent="0.25"/>
    <row r="56" spans="1:4" ht="6" customHeight="1" x14ac:dyDescent="0.25"/>
    <row r="57" spans="1:4" ht="6" customHeight="1" x14ac:dyDescent="0.25"/>
    <row r="58" spans="1:4" ht="6" customHeight="1" x14ac:dyDescent="0.25"/>
    <row r="59" spans="1:4" ht="6" customHeight="1" x14ac:dyDescent="0.25"/>
    <row r="60" spans="1:4" ht="6" customHeight="1" x14ac:dyDescent="0.25"/>
    <row r="61" spans="1:4" ht="6" customHeight="1" x14ac:dyDescent="0.25"/>
    <row r="62" spans="1:4" ht="6" customHeight="1" x14ac:dyDescent="0.25"/>
    <row r="63" spans="1:4" ht="6" customHeight="1" x14ac:dyDescent="0.25"/>
  </sheetData>
  <sheetProtection sheet="1" objects="1" scenarios="1"/>
  <phoneticPr fontId="0" type="noConversion"/>
  <pageMargins left="0.78740157480314965" right="0.19685039370078741" top="2.3622047244094491" bottom="0.98425196850393704" header="0.51181102362204722" footer="0.51181102362204722"/>
  <pageSetup paperSize="9" scale="78" fitToHeight="2" orientation="landscape" horizontalDpi="4294967293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EBAB8"/>
    <pageSetUpPr fitToPage="1"/>
  </sheetPr>
  <dimension ref="A1:P27"/>
  <sheetViews>
    <sheetView showGridLines="0" workbookViewId="0">
      <selection activeCell="D16" sqref="D16:F16"/>
    </sheetView>
  </sheetViews>
  <sheetFormatPr baseColWidth="10" defaultRowHeight="12.5" x14ac:dyDescent="0.25"/>
  <cols>
    <col min="1" max="1" width="1.7265625" customWidth="1"/>
    <col min="2" max="2" width="2.1796875" customWidth="1"/>
    <col min="3" max="3" width="25.54296875" customWidth="1"/>
    <col min="4" max="6" width="14.1796875" customWidth="1"/>
    <col min="9" max="9" width="2.7265625" customWidth="1"/>
    <col min="10" max="10" width="22" customWidth="1"/>
  </cols>
  <sheetData>
    <row r="1" spans="1:16" ht="18" x14ac:dyDescent="0.4">
      <c r="A1" s="1"/>
      <c r="B1" s="1"/>
      <c r="C1" s="241" t="s">
        <v>89</v>
      </c>
      <c r="D1" s="242"/>
      <c r="E1" s="242"/>
      <c r="F1" s="242"/>
      <c r="G1" s="242"/>
      <c r="H1" s="242"/>
      <c r="I1" s="242"/>
      <c r="J1" s="242"/>
      <c r="K1" s="242"/>
      <c r="L1" s="100" t="str">
        <f>hypothèses!M8</f>
        <v>janvier</v>
      </c>
      <c r="M1" s="101"/>
      <c r="N1" s="101"/>
      <c r="O1" s="101"/>
      <c r="P1" s="7"/>
    </row>
    <row r="2" spans="1:16" ht="18" x14ac:dyDescent="0.4">
      <c r="A2" s="1"/>
      <c r="B2" s="12"/>
      <c r="C2" s="41" t="s">
        <v>49</v>
      </c>
      <c r="D2" s="15"/>
      <c r="E2" s="15"/>
      <c r="F2" s="15"/>
      <c r="G2" s="15"/>
      <c r="H2" s="13"/>
      <c r="I2" s="13"/>
      <c r="J2" s="13"/>
      <c r="K2" s="13"/>
      <c r="L2" s="13"/>
      <c r="M2" s="13"/>
      <c r="N2" s="13"/>
      <c r="O2" s="13"/>
      <c r="P2" s="6"/>
    </row>
    <row r="3" spans="1:16" ht="13.5" customHeight="1" x14ac:dyDescent="0.3">
      <c r="A3" s="1"/>
      <c r="B3" s="12"/>
      <c r="C3" s="16"/>
      <c r="D3" s="14"/>
      <c r="E3" s="14"/>
      <c r="F3" s="14"/>
      <c r="G3" s="17"/>
      <c r="H3" s="13"/>
      <c r="I3" s="13"/>
      <c r="J3" s="13"/>
      <c r="K3" s="13"/>
      <c r="L3" s="13"/>
      <c r="M3" s="13"/>
      <c r="N3" s="13"/>
      <c r="O3" s="13"/>
      <c r="P3" s="6"/>
    </row>
    <row r="4" spans="1:16" ht="13" thickBot="1" x14ac:dyDescent="0.3">
      <c r="A4" s="2"/>
      <c r="B4" s="12"/>
      <c r="C4" s="182" t="s">
        <v>10</v>
      </c>
      <c r="D4" s="184" t="s">
        <v>90</v>
      </c>
      <c r="E4" s="195" t="str">
        <f>L1</f>
        <v>janvier</v>
      </c>
      <c r="F4" s="182"/>
      <c r="G4" s="184" t="s">
        <v>65</v>
      </c>
      <c r="H4" s="196">
        <f>hypothèses!$G$15</f>
        <v>30</v>
      </c>
      <c r="I4" s="12"/>
      <c r="J4" s="12"/>
      <c r="K4" s="12"/>
      <c r="L4" s="12"/>
      <c r="M4" s="12"/>
      <c r="N4" s="12"/>
      <c r="O4" s="12"/>
      <c r="P4" s="6"/>
    </row>
    <row r="5" spans="1:16" ht="14" thickTop="1" thickBot="1" x14ac:dyDescent="0.35">
      <c r="A5" s="2"/>
      <c r="B5" s="12"/>
      <c r="C5" s="113" t="s">
        <v>11</v>
      </c>
      <c r="D5" s="197" t="s">
        <v>112</v>
      </c>
      <c r="E5" s="198" t="s">
        <v>113</v>
      </c>
      <c r="F5" s="199" t="s">
        <v>114</v>
      </c>
      <c r="G5" s="113" t="s">
        <v>11</v>
      </c>
      <c r="H5" s="114" t="s">
        <v>15</v>
      </c>
      <c r="I5" s="12"/>
      <c r="J5" s="12" t="s">
        <v>14</v>
      </c>
      <c r="K5" s="12" t="s">
        <v>95</v>
      </c>
      <c r="L5" s="12">
        <f>H13</f>
        <v>1.3999999999999986</v>
      </c>
      <c r="M5" s="12"/>
      <c r="N5" s="12"/>
      <c r="O5" s="12"/>
      <c r="P5" s="6"/>
    </row>
    <row r="6" spans="1:16" ht="13.5" thickTop="1" x14ac:dyDescent="0.3">
      <c r="A6" s="2"/>
      <c r="B6" s="12"/>
      <c r="C6" s="200" t="s">
        <v>8</v>
      </c>
      <c r="D6" s="136"/>
      <c r="E6" s="137"/>
      <c r="F6" s="138"/>
      <c r="G6" s="139" t="s">
        <v>4</v>
      </c>
      <c r="H6" s="201">
        <f>hypothèses!G14</f>
        <v>2</v>
      </c>
      <c r="I6" s="12"/>
      <c r="J6" s="12" t="s">
        <v>92</v>
      </c>
      <c r="K6" s="12" t="s">
        <v>96</v>
      </c>
      <c r="L6" s="12">
        <f>H24</f>
        <v>0.69999999999999929</v>
      </c>
      <c r="M6" s="12"/>
      <c r="N6" s="12"/>
      <c r="O6" s="12"/>
      <c r="P6" s="6"/>
    </row>
    <row r="7" spans="1:16" ht="13" x14ac:dyDescent="0.3">
      <c r="A7" s="2"/>
      <c r="B7" s="12"/>
      <c r="C7" s="147" t="s">
        <v>45</v>
      </c>
      <c r="D7" s="148"/>
      <c r="E7" s="149"/>
      <c r="F7" s="150"/>
      <c r="G7" s="202" t="s">
        <v>4</v>
      </c>
      <c r="H7" s="203">
        <f>H4</f>
        <v>30</v>
      </c>
      <c r="I7" s="12"/>
      <c r="J7" s="12"/>
      <c r="K7" s="12"/>
      <c r="L7" s="12"/>
      <c r="M7" s="12"/>
      <c r="N7" s="12"/>
      <c r="O7" s="12"/>
      <c r="P7" s="6"/>
    </row>
    <row r="8" spans="1:16" ht="13" x14ac:dyDescent="0.3">
      <c r="A8" s="2"/>
      <c r="B8" s="12"/>
      <c r="C8" s="152" t="s">
        <v>43</v>
      </c>
      <c r="D8" s="204"/>
      <c r="E8" s="205"/>
      <c r="F8" s="206"/>
      <c r="G8" s="202" t="s">
        <v>4</v>
      </c>
      <c r="H8" s="207">
        <f>hypothèses!G16</f>
        <v>0</v>
      </c>
      <c r="I8" s="12"/>
      <c r="J8" s="12"/>
      <c r="K8" s="12"/>
      <c r="L8" s="12"/>
      <c r="M8" s="12"/>
      <c r="N8" s="12"/>
      <c r="O8" s="12"/>
      <c r="P8" s="6"/>
    </row>
    <row r="9" spans="1:16" ht="13.5" thickBot="1" x14ac:dyDescent="0.35">
      <c r="A9" s="2"/>
      <c r="B9" s="12"/>
      <c r="C9" s="208" t="s">
        <v>44</v>
      </c>
      <c r="D9" s="153"/>
      <c r="E9" s="154"/>
      <c r="F9" s="155"/>
      <c r="G9" s="156" t="s">
        <v>5</v>
      </c>
      <c r="H9" s="209">
        <f>hypothèses!G17</f>
        <v>0</v>
      </c>
      <c r="I9" s="12"/>
      <c r="J9" s="12"/>
      <c r="K9" s="12"/>
      <c r="L9" s="12"/>
      <c r="M9" s="12"/>
      <c r="N9" s="12"/>
      <c r="O9" s="12"/>
      <c r="P9" s="6"/>
    </row>
    <row r="10" spans="1:16" ht="13" thickTop="1" x14ac:dyDescent="0.25">
      <c r="A10" s="2"/>
      <c r="B10" s="12"/>
      <c r="C10" s="200" t="s">
        <v>3</v>
      </c>
      <c r="D10" s="210">
        <f>hypothèses!O11</f>
        <v>46</v>
      </c>
      <c r="E10" s="211">
        <f>hypothèses!P11</f>
        <v>41</v>
      </c>
      <c r="F10" s="212">
        <f>hypothèses!Q11</f>
        <v>5</v>
      </c>
      <c r="G10" s="213"/>
      <c r="H10" s="214"/>
      <c r="I10" s="12"/>
      <c r="J10" s="12"/>
      <c r="K10" s="12"/>
      <c r="L10" s="12"/>
      <c r="M10" s="12"/>
      <c r="N10" s="12"/>
      <c r="O10" s="12"/>
      <c r="P10" s="6"/>
    </row>
    <row r="11" spans="1:16" x14ac:dyDescent="0.25">
      <c r="A11" s="2"/>
      <c r="B11" s="12"/>
      <c r="C11" s="147" t="s">
        <v>7</v>
      </c>
      <c r="D11" s="215">
        <f>hypothèses!O21</f>
        <v>0.2</v>
      </c>
      <c r="E11" s="216">
        <f>hypothèses!P21</f>
        <v>0.4</v>
      </c>
      <c r="F11" s="217">
        <f>hypothèses!Q21</f>
        <v>1</v>
      </c>
      <c r="G11" s="218"/>
      <c r="H11" s="219"/>
      <c r="I11" s="12"/>
      <c r="J11" s="12"/>
      <c r="K11" s="12"/>
      <c r="L11" s="12"/>
      <c r="M11" s="12"/>
      <c r="N11" s="12"/>
      <c r="O11" s="12"/>
      <c r="P11" s="6"/>
    </row>
    <row r="12" spans="1:16" ht="13.5" thickBot="1" x14ac:dyDescent="0.35">
      <c r="A12" s="2"/>
      <c r="B12" s="12"/>
      <c r="C12" s="208" t="s">
        <v>9</v>
      </c>
      <c r="D12" s="220">
        <f>D11*D10</f>
        <v>9.2000000000000011</v>
      </c>
      <c r="E12" s="221">
        <f>E11*E10</f>
        <v>16.400000000000002</v>
      </c>
      <c r="F12" s="222">
        <f>F11*F10</f>
        <v>5</v>
      </c>
      <c r="G12" s="223" t="s">
        <v>5</v>
      </c>
      <c r="H12" s="224">
        <f>SUM(D12:F12)</f>
        <v>30.6</v>
      </c>
      <c r="I12" s="12"/>
      <c r="J12" s="12"/>
      <c r="K12" s="12"/>
      <c r="L12" s="12"/>
      <c r="M12" s="12"/>
      <c r="N12" s="12"/>
      <c r="O12" s="12"/>
      <c r="P12" s="6"/>
    </row>
    <row r="13" spans="1:16" ht="14" thickTop="1" thickBot="1" x14ac:dyDescent="0.35">
      <c r="A13" s="18"/>
      <c r="B13" s="19"/>
      <c r="C13" s="115" t="s">
        <v>91</v>
      </c>
      <c r="D13" s="225"/>
      <c r="E13" s="226"/>
      <c r="F13" s="227"/>
      <c r="G13" s="175" t="s">
        <v>6</v>
      </c>
      <c r="H13" s="228">
        <f>H6+H7+H8-H9-H12</f>
        <v>1.3999999999999986</v>
      </c>
      <c r="I13" s="19"/>
      <c r="J13" s="12"/>
      <c r="K13" s="12"/>
      <c r="L13" s="12"/>
      <c r="M13" s="12"/>
      <c r="N13" s="12"/>
      <c r="O13" s="12"/>
      <c r="P13" s="6"/>
    </row>
    <row r="14" spans="1:16" ht="24" customHeight="1" thickTop="1" x14ac:dyDescent="0.25">
      <c r="A14" s="2"/>
      <c r="B14" s="12"/>
      <c r="C14" s="182"/>
      <c r="D14" s="182"/>
      <c r="E14" s="182"/>
      <c r="F14" s="182"/>
      <c r="G14" s="182"/>
      <c r="H14" s="182"/>
      <c r="I14" s="12"/>
      <c r="J14" s="19"/>
      <c r="K14" s="19"/>
      <c r="L14" s="19"/>
      <c r="M14" s="19"/>
      <c r="N14" s="19"/>
      <c r="O14" s="19"/>
      <c r="P14" s="6"/>
    </row>
    <row r="15" spans="1:16" ht="14.5" thickBot="1" x14ac:dyDescent="0.35">
      <c r="A15" s="2"/>
      <c r="B15" s="12"/>
      <c r="C15" s="182" t="s">
        <v>10</v>
      </c>
      <c r="D15" s="184" t="str">
        <f>D4</f>
        <v>Mois en cours :</v>
      </c>
      <c r="E15" s="195" t="str">
        <f>E4</f>
        <v>janvier</v>
      </c>
      <c r="F15" s="182"/>
      <c r="G15" s="184" t="s">
        <v>65</v>
      </c>
      <c r="H15" s="196">
        <f>hypothèses!H15</f>
        <v>15</v>
      </c>
      <c r="I15" s="12"/>
      <c r="J15" s="1"/>
      <c r="K15" s="1"/>
      <c r="L15" s="1"/>
      <c r="M15" s="1"/>
      <c r="N15" s="1"/>
      <c r="O15" s="1"/>
      <c r="P15" s="6"/>
    </row>
    <row r="16" spans="1:16" ht="15" thickTop="1" thickBot="1" x14ac:dyDescent="0.35">
      <c r="A16" s="2"/>
      <c r="B16" s="12"/>
      <c r="C16" s="113" t="s">
        <v>12</v>
      </c>
      <c r="D16" s="197" t="s">
        <v>112</v>
      </c>
      <c r="E16" s="198" t="s">
        <v>113</v>
      </c>
      <c r="F16" s="199" t="s">
        <v>114</v>
      </c>
      <c r="G16" s="113" t="s">
        <v>12</v>
      </c>
      <c r="H16" s="114" t="s">
        <v>13</v>
      </c>
      <c r="I16" s="12"/>
      <c r="J16" s="1"/>
      <c r="K16" s="1"/>
      <c r="L16" s="1"/>
      <c r="M16" s="1"/>
      <c r="N16" s="1"/>
      <c r="O16" s="1"/>
      <c r="P16" s="6"/>
    </row>
    <row r="17" spans="1:16" ht="13.5" thickTop="1" x14ac:dyDescent="0.3">
      <c r="A17" s="2"/>
      <c r="B17" s="12"/>
      <c r="C17" s="200" t="s">
        <v>8</v>
      </c>
      <c r="D17" s="136"/>
      <c r="E17" s="137"/>
      <c r="F17" s="138"/>
      <c r="G17" s="139" t="s">
        <v>4</v>
      </c>
      <c r="H17" s="201">
        <f>hypothèses!H14</f>
        <v>1</v>
      </c>
      <c r="I17" s="12"/>
      <c r="J17" s="7"/>
      <c r="K17" s="7"/>
      <c r="L17" s="7"/>
      <c r="M17" s="7"/>
      <c r="N17" s="7"/>
      <c r="O17" s="7"/>
      <c r="P17" s="6"/>
    </row>
    <row r="18" spans="1:16" ht="13" x14ac:dyDescent="0.3">
      <c r="A18" s="2"/>
      <c r="B18" s="12"/>
      <c r="C18" s="147" t="s">
        <v>45</v>
      </c>
      <c r="D18" s="148"/>
      <c r="E18" s="149"/>
      <c r="F18" s="150"/>
      <c r="G18" s="202" t="s">
        <v>4</v>
      </c>
      <c r="H18" s="203">
        <f>hypothèses!H15</f>
        <v>15</v>
      </c>
      <c r="I18" s="12"/>
      <c r="P18" s="6"/>
    </row>
    <row r="19" spans="1:16" ht="13" x14ac:dyDescent="0.3">
      <c r="A19" s="2"/>
      <c r="B19" s="12"/>
      <c r="C19" s="152" t="s">
        <v>43</v>
      </c>
      <c r="D19" s="204"/>
      <c r="E19" s="205"/>
      <c r="F19" s="206"/>
      <c r="G19" s="202" t="s">
        <v>4</v>
      </c>
      <c r="H19" s="203">
        <f>hypothèses!H16</f>
        <v>0</v>
      </c>
      <c r="I19" s="12"/>
      <c r="P19" s="6"/>
    </row>
    <row r="20" spans="1:16" ht="13.5" thickBot="1" x14ac:dyDescent="0.35">
      <c r="A20" s="2"/>
      <c r="B20" s="12"/>
      <c r="C20" s="208" t="s">
        <v>44</v>
      </c>
      <c r="D20" s="153"/>
      <c r="E20" s="154"/>
      <c r="F20" s="155"/>
      <c r="G20" s="156" t="s">
        <v>5</v>
      </c>
      <c r="H20" s="203">
        <f>hypothèses!H17</f>
        <v>0</v>
      </c>
      <c r="I20" s="12"/>
      <c r="P20" s="6"/>
    </row>
    <row r="21" spans="1:16" ht="13" thickTop="1" x14ac:dyDescent="0.25">
      <c r="A21" s="2"/>
      <c r="B21" s="12"/>
      <c r="C21" s="200" t="s">
        <v>3</v>
      </c>
      <c r="D21" s="210">
        <f t="shared" ref="D21:F21" si="0">D10</f>
        <v>46</v>
      </c>
      <c r="E21" s="211">
        <f t="shared" si="0"/>
        <v>41</v>
      </c>
      <c r="F21" s="212">
        <f t="shared" si="0"/>
        <v>5</v>
      </c>
      <c r="G21" s="213"/>
      <c r="H21" s="214"/>
      <c r="I21" s="12"/>
      <c r="P21" s="6"/>
    </row>
    <row r="22" spans="1:16" x14ac:dyDescent="0.25">
      <c r="A22" s="2"/>
      <c r="B22" s="12"/>
      <c r="C22" s="147" t="s">
        <v>7</v>
      </c>
      <c r="D22" s="215">
        <f>hypothèses!O22</f>
        <v>0.1</v>
      </c>
      <c r="E22" s="216">
        <f>hypothèses!P22</f>
        <v>0.2</v>
      </c>
      <c r="F22" s="217">
        <f>hypothèses!Q22</f>
        <v>0.5</v>
      </c>
      <c r="G22" s="218"/>
      <c r="H22" s="219"/>
      <c r="I22" s="12"/>
      <c r="P22" s="6"/>
    </row>
    <row r="23" spans="1:16" ht="13.5" thickBot="1" x14ac:dyDescent="0.35">
      <c r="A23" s="2"/>
      <c r="B23" s="12"/>
      <c r="C23" s="208" t="s">
        <v>9</v>
      </c>
      <c r="D23" s="220">
        <f>D22*D21</f>
        <v>4.6000000000000005</v>
      </c>
      <c r="E23" s="221">
        <f>E22*E21</f>
        <v>8.2000000000000011</v>
      </c>
      <c r="F23" s="222">
        <f>F22*F21</f>
        <v>2.5</v>
      </c>
      <c r="G23" s="223" t="s">
        <v>5</v>
      </c>
      <c r="H23" s="224">
        <f>SUM(D23:F23)</f>
        <v>15.3</v>
      </c>
      <c r="I23" s="12"/>
      <c r="P23" s="6"/>
    </row>
    <row r="24" spans="1:16" ht="14" thickTop="1" thickBot="1" x14ac:dyDescent="0.35">
      <c r="A24" s="18"/>
      <c r="B24" s="19"/>
      <c r="C24" s="115" t="s">
        <v>16</v>
      </c>
      <c r="D24" s="225"/>
      <c r="E24" s="226"/>
      <c r="F24" s="227"/>
      <c r="G24" s="175" t="s">
        <v>6</v>
      </c>
      <c r="H24" s="228">
        <f>H17+H18+H19-H20-H23</f>
        <v>0.69999999999999929</v>
      </c>
      <c r="I24" s="19"/>
      <c r="P24" s="6"/>
    </row>
    <row r="25" spans="1:16" ht="13" thickTop="1" x14ac:dyDescent="0.25">
      <c r="A25" s="5"/>
      <c r="B25" s="5"/>
      <c r="C25" s="2"/>
      <c r="D25" s="2"/>
      <c r="E25" s="2"/>
      <c r="F25" s="2"/>
      <c r="G25" s="2"/>
      <c r="H25" s="2"/>
      <c r="I25" s="2"/>
      <c r="P25" s="7"/>
    </row>
    <row r="26" spans="1:16" x14ac:dyDescent="0.25">
      <c r="A26" s="2"/>
      <c r="B26" s="2"/>
      <c r="C26" s="2"/>
      <c r="D26" s="3"/>
      <c r="E26" s="3"/>
      <c r="F26" s="3"/>
      <c r="G26" s="2"/>
      <c r="H26" s="2"/>
      <c r="I26" s="2"/>
      <c r="P26" s="7"/>
    </row>
    <row r="27" spans="1:16" x14ac:dyDescent="0.25">
      <c r="C27" s="7"/>
      <c r="D27" s="7"/>
      <c r="E27" s="7"/>
      <c r="F27" s="7"/>
      <c r="G27" s="7"/>
      <c r="H27" s="7"/>
      <c r="I27" s="7"/>
      <c r="P27" s="7"/>
    </row>
  </sheetData>
  <sheetProtection sheet="1" objects="1" scenarios="1"/>
  <mergeCells count="1">
    <mergeCell ref="C1:K1"/>
  </mergeCells>
  <phoneticPr fontId="0" type="noConversion"/>
  <printOptions horizontalCentered="1" verticalCentered="1"/>
  <pageMargins left="0.27559055118110237" right="0.19685039370078741" top="0.98425196850393704" bottom="0.98425196850393704" header="0.51181102362204722" footer="0.51181102362204722"/>
  <pageSetup paperSize="9" scale="73" orientation="landscape" horizontalDpi="4294967293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  <pageSetUpPr fitToPage="1"/>
  </sheetPr>
  <dimension ref="A1:P32"/>
  <sheetViews>
    <sheetView showGridLines="0" workbookViewId="0">
      <selection activeCell="E14" sqref="E14"/>
    </sheetView>
  </sheetViews>
  <sheetFormatPr baseColWidth="10" defaultRowHeight="12.5" x14ac:dyDescent="0.25"/>
  <cols>
    <col min="1" max="2" width="1.453125" customWidth="1"/>
    <col min="3" max="3" width="30.26953125" customWidth="1"/>
    <col min="4" max="4" width="7.1796875" customWidth="1"/>
    <col min="5" max="7" width="12.7265625" customWidth="1"/>
  </cols>
  <sheetData>
    <row r="1" spans="1:16" ht="18" x14ac:dyDescent="0.4">
      <c r="C1" s="245" t="s">
        <v>97</v>
      </c>
      <c r="D1" s="242"/>
      <c r="E1" s="242"/>
      <c r="F1" s="242"/>
      <c r="G1" s="242"/>
      <c r="H1" s="242"/>
      <c r="I1" s="242"/>
      <c r="J1" s="242"/>
      <c r="K1" s="242"/>
      <c r="L1" s="102" t="str">
        <f>hypothèses!M8</f>
        <v>janvier</v>
      </c>
      <c r="M1" s="99"/>
      <c r="N1" s="99"/>
      <c r="O1" s="99"/>
      <c r="P1" s="99"/>
    </row>
    <row r="2" spans="1:16" ht="18" x14ac:dyDescent="0.4">
      <c r="C2" s="42" t="s">
        <v>49</v>
      </c>
    </row>
    <row r="3" spans="1:16" ht="18" x14ac:dyDescent="0.4">
      <c r="A3" s="7"/>
      <c r="B3" s="7"/>
      <c r="C3" s="42"/>
      <c r="H3" s="7"/>
      <c r="I3" s="7"/>
      <c r="J3" s="7"/>
      <c r="K3" s="7"/>
      <c r="L3" s="7"/>
      <c r="M3" s="7"/>
      <c r="N3" s="7"/>
      <c r="O3" s="7"/>
      <c r="P3" s="7"/>
    </row>
    <row r="4" spans="1:16" ht="18" x14ac:dyDescent="0.4">
      <c r="A4" s="7"/>
      <c r="B4" s="7"/>
      <c r="C4" s="42"/>
      <c r="H4" s="7"/>
      <c r="I4" s="7"/>
      <c r="J4" s="7"/>
      <c r="K4" s="7"/>
      <c r="L4" s="7"/>
      <c r="M4" s="7"/>
      <c r="N4" s="7"/>
      <c r="O4" s="7"/>
      <c r="P4" s="7"/>
    </row>
    <row r="5" spans="1:16" ht="18" x14ac:dyDescent="0.4">
      <c r="A5" s="7"/>
      <c r="B5" s="7"/>
      <c r="C5" s="42"/>
      <c r="H5" s="7"/>
      <c r="I5" s="7"/>
      <c r="J5" s="7"/>
      <c r="K5" s="7"/>
      <c r="L5" s="7"/>
      <c r="M5" s="7"/>
      <c r="N5" s="7"/>
      <c r="O5" s="7"/>
      <c r="P5" s="7"/>
    </row>
    <row r="6" spans="1:16" ht="18" x14ac:dyDescent="0.4">
      <c r="A6" s="7"/>
      <c r="B6" s="7"/>
      <c r="C6" s="42"/>
      <c r="H6" s="7"/>
      <c r="I6" s="7"/>
      <c r="J6" s="7"/>
      <c r="K6" s="7"/>
      <c r="L6" s="7"/>
      <c r="M6" s="7"/>
      <c r="N6" s="7"/>
      <c r="O6" s="7"/>
      <c r="P6" s="7"/>
    </row>
    <row r="7" spans="1:16" x14ac:dyDescent="0.25">
      <c r="A7" s="7"/>
      <c r="B7" s="7"/>
      <c r="C7" s="7"/>
      <c r="D7" s="7"/>
      <c r="E7" s="7"/>
      <c r="F7" s="7"/>
      <c r="G7" s="7"/>
      <c r="H7" s="7"/>
      <c r="I7" s="7"/>
      <c r="J7" s="15"/>
      <c r="K7" s="15"/>
      <c r="L7" s="15"/>
      <c r="M7" s="7"/>
      <c r="N7" s="7"/>
      <c r="O7" s="7"/>
      <c r="P7" s="7"/>
    </row>
    <row r="8" spans="1:16" ht="16" thickBot="1" x14ac:dyDescent="0.4">
      <c r="A8" s="7"/>
      <c r="B8" s="7"/>
      <c r="C8" s="243" t="s">
        <v>42</v>
      </c>
      <c r="D8" s="244"/>
      <c r="E8" s="244"/>
      <c r="F8" s="244"/>
      <c r="G8" s="244"/>
      <c r="H8" s="7"/>
      <c r="I8" s="20" t="s">
        <v>112</v>
      </c>
      <c r="J8" s="21">
        <f>E15</f>
        <v>36</v>
      </c>
      <c r="K8" s="21"/>
      <c r="L8" s="21"/>
      <c r="M8" s="7"/>
      <c r="N8" s="7"/>
      <c r="O8" s="7"/>
      <c r="P8" s="7"/>
    </row>
    <row r="9" spans="1:16" ht="16.5" thickTop="1" thickBot="1" x14ac:dyDescent="0.4">
      <c r="A9" s="7"/>
      <c r="B9" s="7"/>
      <c r="C9" s="116" t="str">
        <f>hypothèses!M8</f>
        <v>janvier</v>
      </c>
      <c r="D9" s="116"/>
      <c r="E9" s="229" t="s">
        <v>112</v>
      </c>
      <c r="F9" s="117" t="s">
        <v>113</v>
      </c>
      <c r="G9" s="117" t="s">
        <v>114</v>
      </c>
      <c r="H9" s="7"/>
      <c r="I9" s="20" t="s">
        <v>113</v>
      </c>
      <c r="J9" s="21">
        <f>F15</f>
        <v>43</v>
      </c>
      <c r="K9" s="21"/>
      <c r="L9" s="21"/>
      <c r="M9" s="7"/>
      <c r="N9" s="7"/>
      <c r="O9" s="7"/>
      <c r="P9" s="7"/>
    </row>
    <row r="10" spans="1:16" ht="16" thickTop="1" x14ac:dyDescent="0.35">
      <c r="A10" s="7"/>
      <c r="B10" s="7"/>
      <c r="C10" s="118" t="s">
        <v>41</v>
      </c>
      <c r="D10" s="119" t="s">
        <v>4</v>
      </c>
      <c r="E10" s="120">
        <f>hypothèses!O10</f>
        <v>32</v>
      </c>
      <c r="F10" s="120">
        <f>hypothèses!P10</f>
        <v>37</v>
      </c>
      <c r="G10" s="121">
        <f>hypothèses!Q10</f>
        <v>4</v>
      </c>
      <c r="H10" s="7"/>
      <c r="I10" s="20" t="s">
        <v>114</v>
      </c>
      <c r="J10" s="21">
        <f>G15</f>
        <v>4</v>
      </c>
      <c r="K10" s="21"/>
      <c r="L10" s="21"/>
      <c r="M10" s="7"/>
      <c r="N10" s="7"/>
      <c r="O10" s="7"/>
      <c r="P10" s="7"/>
    </row>
    <row r="11" spans="1:16" ht="15.5" x14ac:dyDescent="0.35">
      <c r="A11" s="7"/>
      <c r="B11" s="7"/>
      <c r="C11" s="122" t="s">
        <v>39</v>
      </c>
      <c r="D11" s="123" t="s">
        <v>4</v>
      </c>
      <c r="E11" s="124">
        <f>hypothèses!O11</f>
        <v>46</v>
      </c>
      <c r="F11" s="124">
        <f>hypothèses!P11</f>
        <v>41</v>
      </c>
      <c r="G11" s="125">
        <f>hypothèses!Q11</f>
        <v>5</v>
      </c>
      <c r="H11" s="7"/>
      <c r="I11" s="7"/>
      <c r="J11" s="7"/>
      <c r="K11" s="7"/>
      <c r="L11" s="7"/>
      <c r="M11" s="7"/>
      <c r="N11" s="7"/>
      <c r="O11" s="7"/>
      <c r="P11" s="7"/>
    </row>
    <row r="12" spans="1:16" ht="15.5" x14ac:dyDescent="0.35">
      <c r="A12" s="7"/>
      <c r="B12" s="7"/>
      <c r="C12" s="122" t="s">
        <v>115</v>
      </c>
      <c r="D12" s="123" t="s">
        <v>4</v>
      </c>
      <c r="E12" s="124">
        <f>hypothèses!O12</f>
        <v>0</v>
      </c>
      <c r="F12" s="124">
        <f>hypothèses!P12</f>
        <v>0</v>
      </c>
      <c r="G12" s="125">
        <f>hypothèses!Q12</f>
        <v>0</v>
      </c>
      <c r="H12" s="7"/>
      <c r="I12" s="7"/>
      <c r="J12" s="7"/>
      <c r="K12" s="7"/>
      <c r="L12" s="7"/>
      <c r="M12" s="7"/>
      <c r="N12" s="7"/>
      <c r="O12" s="7"/>
      <c r="P12" s="7"/>
    </row>
    <row r="13" spans="1:16" ht="15.5" x14ac:dyDescent="0.35">
      <c r="A13" s="7"/>
      <c r="B13" s="7"/>
      <c r="C13" s="122" t="s">
        <v>116</v>
      </c>
      <c r="D13" s="126" t="s">
        <v>5</v>
      </c>
      <c r="E13" s="124">
        <f>hypothèses!O13</f>
        <v>0</v>
      </c>
      <c r="F13" s="124">
        <f>hypothèses!P13</f>
        <v>0</v>
      </c>
      <c r="G13" s="125">
        <f>hypothèses!Q13</f>
        <v>0</v>
      </c>
      <c r="H13" s="7"/>
      <c r="I13" s="7"/>
      <c r="J13" s="7"/>
      <c r="K13" s="7"/>
      <c r="L13" s="7"/>
      <c r="M13" s="7"/>
      <c r="N13" s="7"/>
      <c r="O13" s="7"/>
      <c r="P13" s="7"/>
    </row>
    <row r="14" spans="1:16" ht="16" thickBot="1" x14ac:dyDescent="0.4">
      <c r="A14" s="7"/>
      <c r="B14" s="7"/>
      <c r="C14" s="127" t="s">
        <v>28</v>
      </c>
      <c r="D14" s="128" t="s">
        <v>5</v>
      </c>
      <c r="E14" s="129">
        <f>hypothèses!G19</f>
        <v>42</v>
      </c>
      <c r="F14" s="129">
        <f>hypothèses!H19</f>
        <v>35</v>
      </c>
      <c r="G14" s="130">
        <f>hypothèses!I19</f>
        <v>5</v>
      </c>
      <c r="H14" s="7"/>
      <c r="I14" s="7"/>
      <c r="J14" s="7"/>
      <c r="K14" s="7"/>
      <c r="L14" s="7"/>
      <c r="M14" s="7"/>
      <c r="N14" s="7"/>
      <c r="O14" s="7"/>
      <c r="P14" s="7"/>
    </row>
    <row r="15" spans="1:16" ht="16.5" thickTop="1" thickBot="1" x14ac:dyDescent="0.4">
      <c r="A15" s="7"/>
      <c r="B15" s="7"/>
      <c r="C15" s="131" t="s">
        <v>40</v>
      </c>
      <c r="D15" s="132" t="s">
        <v>6</v>
      </c>
      <c r="E15" s="133">
        <f>E10+E11+E12-E13-E14</f>
        <v>36</v>
      </c>
      <c r="F15" s="133">
        <f>F10+F11+F12-F13-F14</f>
        <v>43</v>
      </c>
      <c r="G15" s="134">
        <f>G10+G11+G12-G13-G14</f>
        <v>4</v>
      </c>
      <c r="H15" s="7"/>
      <c r="I15" s="7"/>
      <c r="J15" s="7"/>
      <c r="K15" s="7"/>
      <c r="L15" s="7"/>
      <c r="M15" s="7"/>
      <c r="N15" s="7"/>
      <c r="O15" s="7"/>
      <c r="P15" s="7"/>
    </row>
    <row r="16" spans="1:16" ht="13" thickTop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x14ac:dyDescent="0.25">
      <c r="A20" s="7"/>
      <c r="B20" s="7"/>
      <c r="H20" s="7"/>
      <c r="I20" s="7"/>
      <c r="J20" s="7"/>
      <c r="K20" s="7"/>
      <c r="L20" s="7"/>
      <c r="M20" s="7"/>
      <c r="N20" s="7"/>
      <c r="O20" s="7"/>
      <c r="P20" s="7"/>
    </row>
    <row r="21" spans="1:16" x14ac:dyDescent="0.25">
      <c r="A21" s="7"/>
      <c r="B21" s="7"/>
      <c r="H21" s="7"/>
      <c r="I21" s="7"/>
      <c r="J21" s="7"/>
      <c r="K21" s="7"/>
      <c r="L21" s="7"/>
      <c r="M21" s="7"/>
      <c r="N21" s="7"/>
      <c r="O21" s="7"/>
      <c r="P21" s="7"/>
    </row>
    <row r="22" spans="1:16" x14ac:dyDescent="0.25">
      <c r="A22" s="7"/>
      <c r="B22" s="7"/>
      <c r="H22" s="7"/>
      <c r="I22" s="7"/>
      <c r="J22" s="7"/>
      <c r="K22" s="7"/>
      <c r="L22" s="7"/>
      <c r="M22" s="7"/>
      <c r="N22" s="7"/>
      <c r="O22" s="7"/>
      <c r="P22" s="7"/>
    </row>
    <row r="23" spans="1:16" x14ac:dyDescent="0.25">
      <c r="A23" s="7"/>
      <c r="B23" s="7"/>
      <c r="H23" s="7"/>
      <c r="I23" s="7"/>
      <c r="J23" s="7"/>
      <c r="K23" s="7"/>
      <c r="L23" s="7"/>
      <c r="M23" s="7"/>
      <c r="N23" s="7"/>
      <c r="O23" s="7"/>
      <c r="P23" s="7"/>
    </row>
    <row r="24" spans="1:16" x14ac:dyDescent="0.25">
      <c r="A24" s="7"/>
      <c r="B24" s="7"/>
      <c r="H24" s="7"/>
      <c r="I24" s="7"/>
      <c r="J24" s="7"/>
      <c r="K24" s="7"/>
      <c r="L24" s="7"/>
      <c r="M24" s="7"/>
      <c r="N24" s="7"/>
      <c r="O24" s="7"/>
      <c r="P24" s="7"/>
    </row>
    <row r="25" spans="1:16" x14ac:dyDescent="0.25">
      <c r="A25" s="7"/>
      <c r="B25" s="7"/>
      <c r="H25" s="7"/>
      <c r="I25" s="7"/>
      <c r="J25" s="7"/>
      <c r="K25" s="7"/>
      <c r="L25" s="7"/>
      <c r="M25" s="7"/>
      <c r="N25" s="7"/>
      <c r="O25" s="7"/>
      <c r="P25" s="7"/>
    </row>
    <row r="26" spans="1:16" x14ac:dyDescent="0.25">
      <c r="A26" s="7"/>
      <c r="B26" s="7"/>
      <c r="H26" s="7"/>
      <c r="I26" s="7"/>
      <c r="J26" s="7"/>
      <c r="K26" s="7"/>
      <c r="L26" s="7"/>
      <c r="M26" s="7"/>
      <c r="N26" s="7"/>
      <c r="O26" s="7"/>
      <c r="P26" s="7"/>
    </row>
    <row r="27" spans="1:16" x14ac:dyDescent="0.25">
      <c r="A27" s="7"/>
      <c r="B27" s="7"/>
      <c r="H27" s="7"/>
      <c r="I27" s="7"/>
      <c r="J27" s="7"/>
      <c r="K27" s="7"/>
      <c r="L27" s="7"/>
      <c r="M27" s="7"/>
      <c r="N27" s="7"/>
      <c r="O27" s="7"/>
      <c r="P27" s="7"/>
    </row>
    <row r="28" spans="1:16" x14ac:dyDescent="0.25">
      <c r="A28" s="7"/>
      <c r="B28" s="7"/>
      <c r="H28" s="7"/>
      <c r="I28" s="7"/>
      <c r="J28" s="7"/>
      <c r="K28" s="7"/>
      <c r="L28" s="7"/>
      <c r="M28" s="7"/>
      <c r="N28" s="7"/>
      <c r="O28" s="7"/>
      <c r="P28" s="7"/>
    </row>
    <row r="29" spans="1:16" x14ac:dyDescent="0.25">
      <c r="A29" s="7"/>
      <c r="B29" s="7"/>
      <c r="H29" s="7"/>
      <c r="I29" s="7"/>
      <c r="J29" s="7"/>
      <c r="K29" s="7"/>
      <c r="L29" s="7"/>
      <c r="M29" s="7"/>
      <c r="N29" s="7"/>
      <c r="O29" s="7"/>
      <c r="P29" s="7"/>
    </row>
    <row r="30" spans="1:16" x14ac:dyDescent="0.25">
      <c r="A30" s="7"/>
      <c r="B30" s="7"/>
      <c r="H30" s="7"/>
      <c r="I30" s="7"/>
      <c r="J30" s="7"/>
      <c r="K30" s="7"/>
      <c r="L30" s="7"/>
      <c r="M30" s="7"/>
      <c r="N30" s="7"/>
      <c r="O30" s="7"/>
      <c r="P30" s="7"/>
    </row>
    <row r="31" spans="1:16" x14ac:dyDescent="0.25">
      <c r="A31" s="7"/>
      <c r="H31" s="7"/>
      <c r="I31" s="7"/>
      <c r="J31" s="7"/>
      <c r="K31" s="7"/>
      <c r="L31" s="7"/>
      <c r="M31" s="7"/>
      <c r="N31" s="7"/>
      <c r="O31" s="7"/>
      <c r="P31" s="7"/>
    </row>
    <row r="32" spans="1:16" x14ac:dyDescent="0.25">
      <c r="A32" s="7"/>
      <c r="H32" s="7"/>
      <c r="I32" s="7"/>
      <c r="J32" s="7"/>
      <c r="K32" s="7"/>
      <c r="L32" s="7"/>
      <c r="M32" s="7"/>
      <c r="N32" s="7"/>
      <c r="O32" s="7"/>
      <c r="P32" s="7"/>
    </row>
  </sheetData>
  <sheetProtection sheet="1" objects="1" scenarios="1"/>
  <mergeCells count="2">
    <mergeCell ref="C8:G8"/>
    <mergeCell ref="C1:K1"/>
  </mergeCells>
  <phoneticPr fontId="0" type="noConversion"/>
  <printOptions horizontalCentered="1" verticalCentered="1"/>
  <pageMargins left="0.23622047244094491" right="0.19685039370078741" top="0.98425196850393704" bottom="0.98425196850393704" header="0.51181102362204722" footer="0.51181102362204722"/>
  <pageSetup paperSize="9" scale="80" orientation="landscape" horizontalDpi="4294967293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34998626667073579"/>
    <pageSetUpPr fitToPage="1"/>
  </sheetPr>
  <dimension ref="A1:M27"/>
  <sheetViews>
    <sheetView showGridLines="0" workbookViewId="0">
      <selection activeCell="C16" sqref="C16:E16"/>
    </sheetView>
  </sheetViews>
  <sheetFormatPr baseColWidth="10" defaultRowHeight="12.5" x14ac:dyDescent="0.25"/>
  <cols>
    <col min="1" max="1" width="1.7265625" customWidth="1"/>
    <col min="2" max="2" width="28.7265625" customWidth="1"/>
  </cols>
  <sheetData>
    <row r="1" spans="1:13" ht="18" x14ac:dyDescent="0.4">
      <c r="A1" s="249" t="s">
        <v>25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</row>
    <row r="2" spans="1:13" ht="18" x14ac:dyDescent="0.4">
      <c r="A2" s="1"/>
      <c r="B2" s="43" t="s">
        <v>49</v>
      </c>
      <c r="C2" s="33"/>
      <c r="D2" s="33"/>
      <c r="E2" s="33"/>
      <c r="F2" s="33"/>
      <c r="G2" s="33"/>
      <c r="H2" s="1"/>
      <c r="I2" s="1"/>
      <c r="J2" s="1"/>
      <c r="K2" s="1"/>
      <c r="L2" s="7"/>
      <c r="M2" s="7"/>
    </row>
    <row r="3" spans="1:13" ht="14.5" thickBot="1" x14ac:dyDescent="0.35">
      <c r="A3" s="2"/>
      <c r="B3" s="246" t="s">
        <v>23</v>
      </c>
      <c r="C3" s="247"/>
      <c r="D3" s="247"/>
      <c r="E3" s="247"/>
      <c r="F3" s="247"/>
      <c r="G3" s="247"/>
      <c r="H3" s="1"/>
      <c r="I3" s="1"/>
      <c r="J3" s="1"/>
      <c r="K3" s="1"/>
      <c r="L3" s="7"/>
      <c r="M3" s="7"/>
    </row>
    <row r="4" spans="1:13" ht="15" thickTop="1" thickBot="1" x14ac:dyDescent="0.35">
      <c r="A4" s="2"/>
      <c r="B4" s="113" t="str">
        <f>hypothèses!M8</f>
        <v>janvier</v>
      </c>
      <c r="C4" s="177" t="s">
        <v>112</v>
      </c>
      <c r="D4" s="178" t="s">
        <v>113</v>
      </c>
      <c r="E4" s="179" t="s">
        <v>114</v>
      </c>
      <c r="F4" s="180" t="s">
        <v>23</v>
      </c>
      <c r="G4" s="181" t="s">
        <v>19</v>
      </c>
      <c r="H4" s="186" t="s">
        <v>23</v>
      </c>
      <c r="I4" s="2">
        <f>G13</f>
        <v>0</v>
      </c>
      <c r="J4" s="2"/>
      <c r="K4" s="1"/>
      <c r="L4" s="7"/>
      <c r="M4" s="7"/>
    </row>
    <row r="5" spans="1:13" ht="14.5" thickTop="1" x14ac:dyDescent="0.3">
      <c r="A5" s="2"/>
      <c r="B5" s="135" t="s">
        <v>98</v>
      </c>
      <c r="C5" s="136"/>
      <c r="D5" s="137"/>
      <c r="E5" s="138"/>
      <c r="F5" s="139"/>
      <c r="G5" s="140">
        <f>hypothèses!O15</f>
        <v>5</v>
      </c>
      <c r="H5" s="2" t="s">
        <v>24</v>
      </c>
      <c r="I5" s="2">
        <f>G25</f>
        <v>26</v>
      </c>
      <c r="J5" s="1"/>
      <c r="K5" s="1"/>
      <c r="L5" s="7"/>
      <c r="M5" s="7"/>
    </row>
    <row r="6" spans="1:13" ht="14" x14ac:dyDescent="0.3">
      <c r="A6" s="2"/>
      <c r="B6" s="141" t="s">
        <v>99</v>
      </c>
      <c r="C6" s="142"/>
      <c r="D6" s="143"/>
      <c r="E6" s="144"/>
      <c r="F6" s="145" t="s">
        <v>4</v>
      </c>
      <c r="G6" s="146">
        <f>hypothèses!O16</f>
        <v>0</v>
      </c>
      <c r="H6" s="1"/>
      <c r="I6" s="1"/>
      <c r="J6" s="1"/>
      <c r="K6" s="1"/>
      <c r="L6" s="7"/>
      <c r="M6" s="7"/>
    </row>
    <row r="7" spans="1:13" ht="15.5" x14ac:dyDescent="0.35">
      <c r="A7" s="2"/>
      <c r="B7" s="141" t="s">
        <v>100</v>
      </c>
      <c r="C7" s="142"/>
      <c r="D7" s="143"/>
      <c r="E7" s="144"/>
      <c r="F7" s="185" t="s">
        <v>5</v>
      </c>
      <c r="G7" s="146">
        <f>hypothèses!O17</f>
        <v>0</v>
      </c>
      <c r="H7" s="1"/>
      <c r="I7" s="1"/>
      <c r="J7" s="1"/>
      <c r="K7" s="1"/>
      <c r="L7" s="7"/>
      <c r="M7" s="7"/>
    </row>
    <row r="8" spans="1:13" ht="14" x14ac:dyDescent="0.3">
      <c r="A8" s="2"/>
      <c r="B8" s="147" t="s">
        <v>101</v>
      </c>
      <c r="C8" s="148"/>
      <c r="D8" s="149"/>
      <c r="E8" s="150"/>
      <c r="F8" s="145" t="s">
        <v>20</v>
      </c>
      <c r="G8" s="151">
        <f>hypothèses!O18</f>
        <v>200</v>
      </c>
      <c r="H8" s="1"/>
      <c r="I8" s="1"/>
      <c r="J8" s="1"/>
      <c r="K8" s="1"/>
      <c r="L8" s="7"/>
      <c r="M8" s="7"/>
    </row>
    <row r="9" spans="1:13" ht="14.5" thickBot="1" x14ac:dyDescent="0.35">
      <c r="A9" s="2"/>
      <c r="B9" s="152" t="s">
        <v>17</v>
      </c>
      <c r="C9" s="153"/>
      <c r="D9" s="154"/>
      <c r="E9" s="155"/>
      <c r="F9" s="156" t="s">
        <v>6</v>
      </c>
      <c r="G9" s="157">
        <f>(G5+G6-G7)*G8</f>
        <v>1000</v>
      </c>
      <c r="H9" s="1"/>
      <c r="I9" s="1"/>
      <c r="J9" s="1"/>
      <c r="K9" s="1"/>
      <c r="L9" s="7"/>
      <c r="M9" s="7"/>
    </row>
    <row r="10" spans="1:13" ht="14.5" thickTop="1" x14ac:dyDescent="0.3">
      <c r="A10" s="2"/>
      <c r="B10" s="135" t="s">
        <v>3</v>
      </c>
      <c r="C10" s="158">
        <f>hypothèses!O11</f>
        <v>46</v>
      </c>
      <c r="D10" s="159">
        <f>hypothèses!P11</f>
        <v>41</v>
      </c>
      <c r="E10" s="160">
        <f>hypothèses!Q11</f>
        <v>5</v>
      </c>
      <c r="F10" s="161"/>
      <c r="G10" s="162"/>
      <c r="H10" s="1"/>
      <c r="I10" s="1"/>
      <c r="J10" s="1"/>
      <c r="K10" s="1"/>
      <c r="L10" s="7"/>
      <c r="M10" s="7"/>
    </row>
    <row r="11" spans="1:13" ht="14" x14ac:dyDescent="0.3">
      <c r="A11" s="2"/>
      <c r="B11" s="152" t="s">
        <v>18</v>
      </c>
      <c r="C11" s="163">
        <f>hypothèses!O23</f>
        <v>8</v>
      </c>
      <c r="D11" s="164">
        <f>hypothèses!P23</f>
        <v>12</v>
      </c>
      <c r="E11" s="165">
        <f>hypothèses!Q23</f>
        <v>28</v>
      </c>
      <c r="F11" s="166"/>
      <c r="G11" s="167"/>
      <c r="H11" s="1"/>
      <c r="I11" s="1"/>
      <c r="J11" s="1"/>
      <c r="K11" s="1"/>
      <c r="L11" s="7"/>
      <c r="M11" s="7"/>
    </row>
    <row r="12" spans="1:13" ht="14.5" thickBot="1" x14ac:dyDescent="0.35">
      <c r="A12" s="2"/>
      <c r="B12" s="168" t="s">
        <v>9</v>
      </c>
      <c r="C12" s="169">
        <f>C11*C10</f>
        <v>368</v>
      </c>
      <c r="D12" s="170">
        <f>D11*D10</f>
        <v>492</v>
      </c>
      <c r="E12" s="171">
        <f>E11*E10</f>
        <v>140</v>
      </c>
      <c r="F12" s="156" t="s">
        <v>5</v>
      </c>
      <c r="G12" s="157">
        <f>SUM(C12:E12)</f>
        <v>1000</v>
      </c>
      <c r="H12" s="1"/>
      <c r="I12" s="1"/>
      <c r="J12" s="1"/>
      <c r="K12" s="1"/>
      <c r="L12" s="7"/>
      <c r="M12" s="7"/>
    </row>
    <row r="13" spans="1:13" ht="15" thickTop="1" thickBot="1" x14ac:dyDescent="0.35">
      <c r="A13" s="18"/>
      <c r="B13" s="172" t="s">
        <v>21</v>
      </c>
      <c r="C13" s="173"/>
      <c r="D13" s="173"/>
      <c r="E13" s="174"/>
      <c r="F13" s="175" t="s">
        <v>6</v>
      </c>
      <c r="G13" s="176">
        <f>G9-G12</f>
        <v>0</v>
      </c>
      <c r="H13" s="22"/>
      <c r="I13" s="22"/>
      <c r="J13" s="22"/>
      <c r="K13" s="22"/>
      <c r="L13" s="7"/>
      <c r="M13" s="7"/>
    </row>
    <row r="14" spans="1:13" ht="14.5" thickTop="1" x14ac:dyDescent="0.3">
      <c r="A14" s="2"/>
      <c r="B14" s="182"/>
      <c r="C14" s="182"/>
      <c r="D14" s="182"/>
      <c r="E14" s="182"/>
      <c r="F14" s="183"/>
      <c r="G14" s="184"/>
      <c r="H14" s="1"/>
      <c r="I14" s="1"/>
      <c r="J14" s="1"/>
      <c r="K14" s="1"/>
      <c r="L14" s="7"/>
      <c r="M14" s="7"/>
    </row>
    <row r="15" spans="1:13" ht="14.5" thickBot="1" x14ac:dyDescent="0.35">
      <c r="A15" s="2"/>
      <c r="B15" s="246" t="s">
        <v>24</v>
      </c>
      <c r="C15" s="248"/>
      <c r="D15" s="248"/>
      <c r="E15" s="248"/>
      <c r="F15" s="248"/>
      <c r="G15" s="248"/>
      <c r="H15" s="1"/>
      <c r="I15" s="1"/>
      <c r="J15" s="1"/>
      <c r="K15" s="1"/>
      <c r="L15" s="7"/>
      <c r="M15" s="7"/>
    </row>
    <row r="16" spans="1:13" ht="15" thickTop="1" thickBot="1" x14ac:dyDescent="0.35">
      <c r="A16" s="2"/>
      <c r="B16" s="113" t="str">
        <f>hypothèses!M8</f>
        <v>janvier</v>
      </c>
      <c r="C16" s="177" t="s">
        <v>112</v>
      </c>
      <c r="D16" s="178" t="s">
        <v>113</v>
      </c>
      <c r="E16" s="179" t="s">
        <v>114</v>
      </c>
      <c r="F16" s="180" t="s">
        <v>24</v>
      </c>
      <c r="G16" s="181" t="s">
        <v>19</v>
      </c>
      <c r="H16" s="1"/>
      <c r="I16" s="1"/>
      <c r="J16" s="1"/>
      <c r="K16" s="1"/>
      <c r="L16" s="7"/>
      <c r="M16" s="7"/>
    </row>
    <row r="17" spans="1:13" ht="14.5" thickTop="1" x14ac:dyDescent="0.3">
      <c r="A17" s="2"/>
      <c r="B17" s="135" t="s">
        <v>98</v>
      </c>
      <c r="C17" s="136"/>
      <c r="D17" s="137"/>
      <c r="E17" s="138"/>
      <c r="F17" s="139"/>
      <c r="G17" s="140">
        <f>hypothèses!P15</f>
        <v>6</v>
      </c>
      <c r="H17" s="1"/>
      <c r="I17" s="1"/>
      <c r="J17" s="1"/>
      <c r="K17" s="1"/>
      <c r="L17" s="7"/>
      <c r="M17" s="7"/>
    </row>
    <row r="18" spans="1:13" ht="14" x14ac:dyDescent="0.3">
      <c r="A18" s="2"/>
      <c r="B18" s="141" t="s">
        <v>99</v>
      </c>
      <c r="C18" s="142"/>
      <c r="D18" s="143"/>
      <c r="E18" s="144"/>
      <c r="F18" s="145" t="s">
        <v>4</v>
      </c>
      <c r="G18" s="146">
        <f>hypothèses!P16</f>
        <v>0</v>
      </c>
      <c r="H18" s="1"/>
      <c r="I18" s="1"/>
      <c r="J18" s="1"/>
      <c r="K18" s="1"/>
      <c r="L18" s="7"/>
      <c r="M18" s="7"/>
    </row>
    <row r="19" spans="1:13" ht="15.5" x14ac:dyDescent="0.35">
      <c r="A19" s="2"/>
      <c r="B19" s="141" t="s">
        <v>100</v>
      </c>
      <c r="C19" s="142"/>
      <c r="D19" s="143"/>
      <c r="E19" s="144"/>
      <c r="F19" s="185" t="s">
        <v>5</v>
      </c>
      <c r="G19" s="146">
        <f>hypothèses!P17</f>
        <v>0</v>
      </c>
      <c r="H19" s="1"/>
      <c r="I19" s="1"/>
      <c r="J19" s="1"/>
      <c r="K19" s="1"/>
      <c r="L19" s="7"/>
      <c r="M19" s="7"/>
    </row>
    <row r="20" spans="1:13" ht="14" x14ac:dyDescent="0.3">
      <c r="A20" s="2"/>
      <c r="B20" s="147" t="s">
        <v>101</v>
      </c>
      <c r="C20" s="148"/>
      <c r="D20" s="149"/>
      <c r="E20" s="150"/>
      <c r="F20" s="145" t="s">
        <v>20</v>
      </c>
      <c r="G20" s="151">
        <f>hypothèses!P18</f>
        <v>200</v>
      </c>
      <c r="H20" s="1"/>
      <c r="I20" s="1"/>
      <c r="J20" s="1"/>
      <c r="K20" s="1"/>
      <c r="L20" s="7"/>
      <c r="M20" s="7"/>
    </row>
    <row r="21" spans="1:13" ht="14.5" thickBot="1" x14ac:dyDescent="0.35">
      <c r="A21" s="2"/>
      <c r="B21" s="152" t="s">
        <v>17</v>
      </c>
      <c r="C21" s="153"/>
      <c r="D21" s="154"/>
      <c r="E21" s="155"/>
      <c r="F21" s="156" t="s">
        <v>6</v>
      </c>
      <c r="G21" s="157">
        <f>(G17+G18-G19)*G20</f>
        <v>1200</v>
      </c>
      <c r="H21" s="1"/>
      <c r="I21" s="1"/>
      <c r="J21" s="1"/>
      <c r="K21" s="1"/>
      <c r="L21" s="7"/>
      <c r="M21" s="7"/>
    </row>
    <row r="22" spans="1:13" ht="14.5" thickTop="1" x14ac:dyDescent="0.3">
      <c r="A22" s="2"/>
      <c r="B22" s="135" t="s">
        <v>3</v>
      </c>
      <c r="C22" s="158">
        <f>C10</f>
        <v>46</v>
      </c>
      <c r="D22" s="158">
        <f>D10</f>
        <v>41</v>
      </c>
      <c r="E22" s="158">
        <f>E10</f>
        <v>5</v>
      </c>
      <c r="F22" s="161"/>
      <c r="G22" s="162"/>
      <c r="H22" s="1"/>
      <c r="I22" s="1"/>
      <c r="J22" s="1"/>
      <c r="K22" s="1"/>
      <c r="L22" s="7"/>
      <c r="M22" s="7"/>
    </row>
    <row r="23" spans="1:13" ht="14" x14ac:dyDescent="0.3">
      <c r="A23" s="2"/>
      <c r="B23" s="152" t="s">
        <v>18</v>
      </c>
      <c r="C23" s="163">
        <f>hypothèses!O24</f>
        <v>10</v>
      </c>
      <c r="D23" s="164">
        <f>hypothèses!P24</f>
        <v>14</v>
      </c>
      <c r="E23" s="165">
        <f>hypothèses!Q24</f>
        <v>28</v>
      </c>
      <c r="F23" s="166"/>
      <c r="G23" s="167"/>
      <c r="H23" s="1"/>
      <c r="I23" s="1"/>
      <c r="J23" s="1"/>
      <c r="K23" s="1"/>
      <c r="L23" s="7"/>
      <c r="M23" s="7"/>
    </row>
    <row r="24" spans="1:13" ht="14.5" thickBot="1" x14ac:dyDescent="0.35">
      <c r="A24" s="2"/>
      <c r="B24" s="168" t="s">
        <v>9</v>
      </c>
      <c r="C24" s="169">
        <f>C23*C22</f>
        <v>460</v>
      </c>
      <c r="D24" s="170">
        <f>D23*D22</f>
        <v>574</v>
      </c>
      <c r="E24" s="171">
        <f>E23*E22</f>
        <v>140</v>
      </c>
      <c r="F24" s="156" t="s">
        <v>5</v>
      </c>
      <c r="G24" s="157">
        <f>SUM(C24:E24)</f>
        <v>1174</v>
      </c>
      <c r="H24" s="1"/>
      <c r="I24" s="1"/>
      <c r="J24" s="1"/>
      <c r="K24" s="1"/>
      <c r="L24" s="7"/>
      <c r="M24" s="7"/>
    </row>
    <row r="25" spans="1:13" ht="15" thickTop="1" thickBot="1" x14ac:dyDescent="0.35">
      <c r="A25" s="2"/>
      <c r="B25" s="172" t="s">
        <v>22</v>
      </c>
      <c r="C25" s="173"/>
      <c r="D25" s="173"/>
      <c r="E25" s="174"/>
      <c r="F25" s="175" t="s">
        <v>6</v>
      </c>
      <c r="G25" s="176">
        <f>G21-G24</f>
        <v>26</v>
      </c>
      <c r="H25" s="1"/>
      <c r="I25" s="1"/>
      <c r="J25" s="1"/>
      <c r="K25" s="1"/>
      <c r="L25" s="7"/>
      <c r="M25" s="7"/>
    </row>
    <row r="26" spans="1:13" ht="14.5" thickTop="1" x14ac:dyDescent="0.3">
      <c r="A26" s="1"/>
      <c r="B26" s="182"/>
      <c r="C26" s="182"/>
      <c r="D26" s="182"/>
      <c r="E26" s="182"/>
      <c r="F26" s="182"/>
      <c r="G26" s="182"/>
      <c r="H26" s="1"/>
      <c r="I26" s="1"/>
      <c r="J26" s="1"/>
      <c r="K26" s="1"/>
      <c r="L26" s="7"/>
      <c r="M26" s="7"/>
    </row>
    <row r="27" spans="1:1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</sheetData>
  <sheetProtection sheet="1" objects="1" scenarios="1"/>
  <mergeCells count="3">
    <mergeCell ref="B3:G3"/>
    <mergeCell ref="B15:G15"/>
    <mergeCell ref="A1:M1"/>
  </mergeCells>
  <phoneticPr fontId="0" type="noConversion"/>
  <printOptions horizontalCentered="1" verticalCentered="1"/>
  <pageMargins left="0.31496062992125984" right="0.23622047244094491" top="0.98425196850393704" bottom="0.98425196850393704" header="0.51181102362204722" footer="0.51181102362204722"/>
  <pageSetup paperSize="9" scale="76" orientation="landscape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Mode d'emploi</vt:lpstr>
      <vt:lpstr>hypothèses</vt:lpstr>
      <vt:lpstr>Synthèse des résultats</vt:lpstr>
      <vt:lpstr>Matières</vt:lpstr>
      <vt:lpstr>Bateaux</vt:lpstr>
      <vt:lpstr>Ateliers</vt:lpstr>
    </vt:vector>
  </TitlesOfParts>
  <Company>arkhe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gcasey</cp:lastModifiedBy>
  <cp:lastPrinted>2017-07-03T13:45:30Z</cp:lastPrinted>
  <dcterms:created xsi:type="dcterms:W3CDTF">2008-04-17T06:52:39Z</dcterms:created>
  <dcterms:modified xsi:type="dcterms:W3CDTF">2024-03-12T10:06:41Z</dcterms:modified>
</cp:coreProperties>
</file>