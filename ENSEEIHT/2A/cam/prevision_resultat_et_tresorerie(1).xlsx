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gcasey.N7-COLORADO\Documents\2023 2024\M1\FISE\BG\"/>
    </mc:Choice>
  </mc:AlternateContent>
  <xr:revisionPtr revIDLastSave="0" documentId="8_{B4DFAFC9-DB6C-4214-9744-2D778DECA78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de d'emploi" sheetId="51471" r:id="rId1"/>
    <sheet name="hypothèses" sheetId="51465" r:id="rId2"/>
    <sheet name="Synthèse des résultats" sheetId="51466" r:id="rId3"/>
    <sheet name="Marges" sheetId="24" r:id="rId4"/>
    <sheet name="Résultat" sheetId="51472" r:id="rId5"/>
    <sheet name="Flux trésorerie" sheetId="5147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51465" l="1"/>
  <c r="P45" i="51465"/>
  <c r="K25" i="24"/>
  <c r="G6" i="51472" s="1"/>
  <c r="P6" i="51472" s="1"/>
  <c r="H25" i="24"/>
  <c r="F6" i="51472" s="1"/>
  <c r="O6" i="51472" s="1"/>
  <c r="E25" i="24"/>
  <c r="E6" i="51472" s="1"/>
  <c r="N6" i="51472" s="1"/>
  <c r="H10" i="51472"/>
  <c r="Q10" i="51472" s="1"/>
  <c r="G7" i="51470"/>
  <c r="J20" i="24"/>
  <c r="K20" i="24" s="1"/>
  <c r="G20" i="24"/>
  <c r="H20" i="24" s="1"/>
  <c r="D20" i="24"/>
  <c r="E20" i="24" s="1"/>
  <c r="P4" i="51472"/>
  <c r="O4" i="51472"/>
  <c r="N4" i="51472"/>
  <c r="I46" i="51465"/>
  <c r="G46" i="51465"/>
  <c r="H9" i="51472" s="1"/>
  <c r="D7" i="24"/>
  <c r="G21" i="51470"/>
  <c r="G16" i="51470"/>
  <c r="G15" i="51470"/>
  <c r="P15" i="51472"/>
  <c r="D13" i="24"/>
  <c r="J13" i="24" s="1"/>
  <c r="D12" i="24"/>
  <c r="G12" i="24" s="1"/>
  <c r="P16" i="51465"/>
  <c r="P15" i="51465"/>
  <c r="P19" i="51465"/>
  <c r="P18" i="51465"/>
  <c r="E5" i="24"/>
  <c r="E14" i="24" s="1"/>
  <c r="H5" i="24"/>
  <c r="H14" i="24" s="1"/>
  <c r="K5" i="24"/>
  <c r="K14" i="24" s="1"/>
  <c r="C9" i="24"/>
  <c r="D9" i="24"/>
  <c r="J9" i="24" s="1"/>
  <c r="F9" i="24"/>
  <c r="I9" i="24"/>
  <c r="C10" i="24"/>
  <c r="D10" i="24"/>
  <c r="J10" i="24" s="1"/>
  <c r="F10" i="24"/>
  <c r="I10" i="24"/>
  <c r="C12" i="24"/>
  <c r="F12" i="24"/>
  <c r="I12" i="24"/>
  <c r="C13" i="24"/>
  <c r="F13" i="24"/>
  <c r="I13" i="24"/>
  <c r="G8" i="51470" l="1"/>
  <c r="J25" i="24"/>
  <c r="D25" i="24"/>
  <c r="G25" i="24"/>
  <c r="G12" i="51470"/>
  <c r="G11" i="51470"/>
  <c r="Q9" i="51472"/>
  <c r="H6" i="51472"/>
  <c r="Q6" i="51472" s="1"/>
  <c r="K10" i="24"/>
  <c r="E7" i="24"/>
  <c r="G13" i="24"/>
  <c r="H13" i="24" s="1"/>
  <c r="G9" i="24"/>
  <c r="H9" i="24" s="1"/>
  <c r="E13" i="24"/>
  <c r="H7" i="24"/>
  <c r="K13" i="24"/>
  <c r="L5" i="24"/>
  <c r="G15" i="51472" s="1"/>
  <c r="J12" i="24"/>
  <c r="K12" i="24" s="1"/>
  <c r="K9" i="24"/>
  <c r="H12" i="24"/>
  <c r="G10" i="24"/>
  <c r="H10" i="24" s="1"/>
  <c r="E9" i="24"/>
  <c r="E10" i="24"/>
  <c r="K7" i="24"/>
  <c r="E12" i="24"/>
  <c r="G17" i="51470"/>
  <c r="H15" i="24" l="1"/>
  <c r="K15" i="24"/>
  <c r="E15" i="24"/>
  <c r="G13" i="51470"/>
  <c r="L15" i="24" l="1"/>
  <c r="L17" i="24" s="1"/>
  <c r="E22" i="24"/>
  <c r="E27" i="24" s="1"/>
  <c r="B53" i="51466" s="1"/>
  <c r="D22" i="24"/>
  <c r="K17" i="24"/>
  <c r="P15" i="24" s="1"/>
  <c r="J22" i="24"/>
  <c r="H17" i="24"/>
  <c r="O15" i="24" s="1"/>
  <c r="G22" i="24"/>
  <c r="E17" i="24"/>
  <c r="B51" i="51466" s="1"/>
  <c r="K22" i="24"/>
  <c r="H22" i="24"/>
  <c r="C51" i="51466" l="1"/>
  <c r="D51" i="51466"/>
  <c r="E5" i="51472"/>
  <c r="D28" i="24"/>
  <c r="G5" i="51472"/>
  <c r="G7" i="51472" s="1"/>
  <c r="J28" i="24"/>
  <c r="F5" i="51472"/>
  <c r="F7" i="51472" s="1"/>
  <c r="G28" i="24"/>
  <c r="N15" i="24"/>
  <c r="K27" i="24"/>
  <c r="D53" i="51466" s="1"/>
  <c r="N26" i="24"/>
  <c r="H27" i="24"/>
  <c r="C53" i="51466" s="1"/>
  <c r="P5" i="51472" l="1"/>
  <c r="P7" i="51472" s="1"/>
  <c r="L28" i="24"/>
  <c r="O5" i="51472"/>
  <c r="E7" i="51472"/>
  <c r="H7" i="51472" s="1"/>
  <c r="N5" i="51472"/>
  <c r="N7" i="51472" s="1"/>
  <c r="P26" i="24"/>
  <c r="H5" i="51472"/>
  <c r="O26" i="24"/>
  <c r="L27" i="24"/>
  <c r="H11" i="51472" l="1"/>
  <c r="G6" i="51470" s="1"/>
  <c r="G9" i="51470" s="1"/>
  <c r="G19" i="51470" s="1"/>
  <c r="G22" i="51470" s="1"/>
  <c r="O7" i="51472"/>
  <c r="Q5" i="51472"/>
  <c r="Q7" i="51472" s="1"/>
  <c r="Q11" i="51472" s="1"/>
  <c r="O15" i="51472" s="1"/>
  <c r="Q15" i="51472" l="1"/>
  <c r="F15" i="51472"/>
  <c r="H15" i="51472" s="1"/>
</calcChain>
</file>

<file path=xl/sharedStrings.xml><?xml version="1.0" encoding="utf-8"?>
<sst xmlns="http://schemas.openxmlformats.org/spreadsheetml/2006/main" count="207" uniqueCount="159">
  <si>
    <t>Plastique</t>
  </si>
  <si>
    <t>Bois</t>
  </si>
  <si>
    <t>Moulage</t>
  </si>
  <si>
    <t>Finition</t>
  </si>
  <si>
    <t>Prix de vente HT</t>
  </si>
  <si>
    <t>Consommation de matières</t>
  </si>
  <si>
    <t>Consommation de temps</t>
  </si>
  <si>
    <t>M S C V unitaires</t>
  </si>
  <si>
    <t>Taux de marge sur C V</t>
  </si>
  <si>
    <t>Total</t>
  </si>
  <si>
    <t>Publicité spécifique</t>
  </si>
  <si>
    <t>Marge de contribution</t>
  </si>
  <si>
    <t>M S C V par type de bateaux</t>
  </si>
  <si>
    <t>Représentants</t>
  </si>
  <si>
    <t>taux comm</t>
  </si>
  <si>
    <t>Marges</t>
  </si>
  <si>
    <t>MSCV</t>
  </si>
  <si>
    <t>Approvisionnement.</t>
  </si>
  <si>
    <t>Production.</t>
  </si>
  <si>
    <t>Commercialisation.</t>
  </si>
  <si>
    <t>Prix unitaires HT prévus</t>
  </si>
  <si>
    <t>Taux de commission représentants</t>
  </si>
  <si>
    <t>Marge contribution</t>
  </si>
  <si>
    <t>Taux de MSCV</t>
  </si>
  <si>
    <t>Finance.</t>
  </si>
  <si>
    <t>Acquisitions</t>
  </si>
  <si>
    <t xml:space="preserve">Moulage </t>
  </si>
  <si>
    <t>Cessions</t>
  </si>
  <si>
    <t>Emprunts</t>
  </si>
  <si>
    <t>Retraits placements</t>
  </si>
  <si>
    <t>Remboursements</t>
  </si>
  <si>
    <t>Placements</t>
  </si>
  <si>
    <t>Q</t>
  </si>
  <si>
    <t>CU</t>
  </si>
  <si>
    <t>Flux liés à l'activité.</t>
  </si>
  <si>
    <t>Résultat</t>
  </si>
  <si>
    <t>Dotations / amortissements</t>
  </si>
  <si>
    <t>Variation BFR</t>
  </si>
  <si>
    <t>Total I</t>
  </si>
  <si>
    <t>Flux liés aux investissements</t>
  </si>
  <si>
    <t>Flux liés au financements</t>
  </si>
  <si>
    <t>Encaissements</t>
  </si>
  <si>
    <t>Décaissements</t>
  </si>
  <si>
    <t>Total II</t>
  </si>
  <si>
    <t>Total III</t>
  </si>
  <si>
    <t>Flux nets de trésorerie du trimestre</t>
  </si>
  <si>
    <r>
      <t>Consommation bois par bateau (en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</si>
  <si>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Consommation plastique par bateau (t)</t>
  </si>
  <si>
    <t>Consommation moulage (en HTM)</t>
  </si>
  <si>
    <t>Consommation finition (en HTM)</t>
  </si>
  <si>
    <t>Publicités spécifiques et marque prévues</t>
  </si>
  <si>
    <t>Ne rien saisir</t>
  </si>
  <si>
    <t>Total invest</t>
  </si>
  <si>
    <t>Cu HTM</t>
  </si>
  <si>
    <t>Total cess</t>
  </si>
  <si>
    <t>Flux</t>
  </si>
  <si>
    <r>
      <t xml:space="preserve">Objectifs </t>
    </r>
    <r>
      <rPr>
        <b/>
        <sz val="10"/>
        <rFont val="Arial"/>
        <family val="2"/>
      </rPr>
      <t>mensuels</t>
    </r>
    <r>
      <rPr>
        <sz val="10"/>
        <rFont val="Arial"/>
        <family val="2"/>
      </rPr>
      <t xml:space="preserve"> de ventes</t>
    </r>
  </si>
  <si>
    <t>Trésorerie</t>
  </si>
  <si>
    <t>Saisie des données</t>
  </si>
  <si>
    <t>Les instructions pour  les champs à saisir sont de couleur rouge.</t>
  </si>
  <si>
    <t>Nature des données</t>
  </si>
  <si>
    <t>Les décisions sont sur fond vert.</t>
  </si>
  <si>
    <t>Les résultats à reporter sont sur fond jaune.</t>
  </si>
  <si>
    <t>Les paramètres sont sur fond bleu.</t>
  </si>
  <si>
    <t>Limites du dossier</t>
  </si>
  <si>
    <t xml:space="preserve">Il n'intègre pas les stratégies de commercialisation par négociation directe dans les onglets "Marges" et "Résultats", seule est envisagée </t>
  </si>
  <si>
    <t>la vente sur le marché concurrentiel.</t>
  </si>
  <si>
    <t xml:space="preserve">Les objectifs de ventes qui dépendent des clients autant que de </t>
  </si>
  <si>
    <t>Marge sur coûts variables</t>
  </si>
  <si>
    <t>Achats fournitures</t>
  </si>
  <si>
    <t>Assurances (y compris emprunts)</t>
  </si>
  <si>
    <t>Impôts et taxes</t>
  </si>
  <si>
    <t>Dotations aux amortissements</t>
  </si>
  <si>
    <t>Déplacements, missions, réceptions</t>
  </si>
  <si>
    <t>Frais postaux et télécommunications</t>
  </si>
  <si>
    <t>Frais bancaires</t>
  </si>
  <si>
    <t>Charges externes fixes</t>
  </si>
  <si>
    <t>Charges financières nettes des produits financiers</t>
  </si>
  <si>
    <t>BFR</t>
  </si>
  <si>
    <t>notre volonté sont sur fond rouge</t>
  </si>
  <si>
    <t>Taux de profitabilité (corrigé des variations saisonnières)</t>
  </si>
  <si>
    <t>Rapport du résultat sur le chiffre d'affaires</t>
  </si>
  <si>
    <t>Ch. d'affaires</t>
  </si>
  <si>
    <t>Taux</t>
  </si>
  <si>
    <t>Taux de rentabilité des capitaux propres sur une année</t>
  </si>
  <si>
    <t>Cap.propres</t>
  </si>
  <si>
    <t>Montant</t>
  </si>
  <si>
    <t>Capitaux propres</t>
  </si>
  <si>
    <t>L'accroissement du BFR est retranché du cash flow</t>
  </si>
  <si>
    <t>La diminution du BFR est ajoutée au Cash flow</t>
  </si>
  <si>
    <t>Cash flow</t>
  </si>
  <si>
    <t>Coûts unitaires HT (par tonne et par m3)</t>
  </si>
  <si>
    <t>ACTIVITE</t>
  </si>
  <si>
    <t>Modifier éventuellement les consommations G15 àI18</t>
  </si>
  <si>
    <t>Saisir les décisions  commerciales G21 à J24</t>
  </si>
  <si>
    <t>à venir</t>
  </si>
  <si>
    <t>écoulé</t>
  </si>
  <si>
    <t>Charges fixes récurrentes mensuelles</t>
  </si>
  <si>
    <t>Saisir les coûts HT  des matières consommées G12 et H12</t>
  </si>
  <si>
    <t>Saisir les charges récurrentes du trimestre écoulé et du trimestre à venir</t>
  </si>
  <si>
    <t>FINANCEMENT</t>
  </si>
  <si>
    <t>INVESTISSEMENT</t>
  </si>
  <si>
    <t>Renseigner les champs relatifs aux financement</t>
  </si>
  <si>
    <t>B F R</t>
  </si>
  <si>
    <r>
      <t xml:space="preserve">Des données sont à saisir dans la feuille </t>
    </r>
    <r>
      <rPr>
        <b/>
        <sz val="16"/>
        <color indexed="10"/>
        <rFont val="Arial"/>
        <family val="2"/>
      </rPr>
      <t>"hypothèses"</t>
    </r>
    <r>
      <rPr>
        <sz val="16"/>
        <rFont val="Arial"/>
        <family val="2"/>
      </rPr>
      <t xml:space="preserve"> les autres feuilles sont protégées</t>
    </r>
  </si>
  <si>
    <t>Renseigner les champs relatifs aux investissements</t>
  </si>
  <si>
    <t>Les champs qui ne nécessitent pas de saisie sont protégés</t>
  </si>
  <si>
    <t>Commun</t>
  </si>
  <si>
    <t>Dossier prévisionnel pour aider à la prise de décisions : résultat et trésorerie</t>
  </si>
  <si>
    <t>La publicité de marque a déjà été saisie ci-dessus.</t>
  </si>
  <si>
    <t xml:space="preserve">Charges fixes hors publicité </t>
  </si>
  <si>
    <t>Rappel des coefficients saisonniers</t>
  </si>
  <si>
    <t>Prévisions mensuelles</t>
  </si>
  <si>
    <t xml:space="preserve">Pour les marges et résultats nous présentons </t>
  </si>
  <si>
    <t>1. la prévision pour le mois en cours, celui pour lequel les décisions sont en préparation,</t>
  </si>
  <si>
    <t>cours</t>
  </si>
  <si>
    <t>Coefficients saisonniers du mois en</t>
  </si>
  <si>
    <t>Mois</t>
  </si>
  <si>
    <t>Mois à venir</t>
  </si>
  <si>
    <t>Mois écoulé</t>
  </si>
  <si>
    <t>Prévision des marges sur coûts variables et marges de contributionensuelles.</t>
  </si>
  <si>
    <t>Objectif mensuel de ventes</t>
  </si>
  <si>
    <t>Attendu</t>
  </si>
  <si>
    <t>Corrigé</t>
  </si>
  <si>
    <t>Prévision des flux de trésorerie du mois à venir.</t>
  </si>
  <si>
    <t xml:space="preserve">Résultat prévisionnel du mois à venir </t>
  </si>
  <si>
    <t>Résultat du mois corrigé des variations saisonnières</t>
  </si>
  <si>
    <t>M. de contribution attendue</t>
  </si>
  <si>
    <t>M. de contribution corrigée</t>
  </si>
  <si>
    <t>Solde de trésorerie début du mois</t>
  </si>
  <si>
    <t>Solde de trésorerie fin de mois</t>
  </si>
  <si>
    <t>Nombre de machines au début du mois</t>
  </si>
  <si>
    <t>Montants des stocks fin du mois</t>
  </si>
  <si>
    <t>Créances clients fin du mois</t>
  </si>
  <si>
    <t>Dettes fournisseurs fin du mois</t>
  </si>
  <si>
    <t>TVA déductible fin du mois</t>
  </si>
  <si>
    <t>TVA collectée fin du mois</t>
  </si>
  <si>
    <t>Solde du compte en banque au début du mois</t>
  </si>
  <si>
    <t>Saisir les coefficients saisonniers du mois à venir G26 à I26</t>
  </si>
  <si>
    <t>Différentes hypothèses pour les prévisions du mois à venir.</t>
  </si>
  <si>
    <t>Publicité de marque</t>
  </si>
  <si>
    <t>Résultat mensuel</t>
  </si>
  <si>
    <t>Publicité de marque mensuelle</t>
  </si>
  <si>
    <t>Pech4</t>
  </si>
  <si>
    <t>Prom5.5</t>
  </si>
  <si>
    <t>Stan8</t>
  </si>
  <si>
    <t>Numéro du dernier mois écoulé</t>
  </si>
  <si>
    <t>CV services extérieurs</t>
  </si>
  <si>
    <t>Salaires bruts (hors commissions)</t>
  </si>
  <si>
    <t>Charges sociales (hors charges sur commissions)</t>
  </si>
  <si>
    <t>Impôts sur les bénéfices</t>
  </si>
  <si>
    <t>Associés dividendes</t>
  </si>
  <si>
    <t>2. la prévision, pour le même mois, mais, corrigée des variations saisonnières.</t>
  </si>
  <si>
    <t>Pour la trésorerie la seule prévision qui présente un intérêt est la prévision pour le mois en cours.</t>
  </si>
  <si>
    <t>Coûts fixes spécifiques mensuels</t>
  </si>
  <si>
    <t>Maintenance, entretien machines</t>
  </si>
  <si>
    <t>Redevance crédit bail</t>
  </si>
  <si>
    <t>Etudes de marché</t>
  </si>
  <si>
    <t>Consommables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</si>
</sst>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-;\-* #,##0.00\ _F_-;_-* &quot;-&quot;??\ _F_-;_-@_-"/>
    <numFmt numFmtId="165" formatCode="#,##0.00_ ;[Red]\-#,##0.00\ "/>
  </numFmts>
  <fonts count="26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BA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4">
    <xf numFmtId="0" fontId="0" fillId="0" borderId="0" xfId="0"/>
    <xf numFmtId="0" fontId="6" fillId="0" borderId="0" xfId="0" applyFont="1"/>
    <xf numFmtId="0" fontId="0" fillId="0" borderId="0" xfId="0" applyAlignment="1">
      <alignment horizontal="right"/>
    </xf>
    <xf numFmtId="164" fontId="6" fillId="0" borderId="0" xfId="1" applyFont="1" applyAlignment="1" applyProtection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7" xfId="0" applyFont="1" applyBorder="1"/>
    <xf numFmtId="4" fontId="4" fillId="0" borderId="8" xfId="0" applyNumberFormat="1" applyFont="1" applyBorder="1"/>
    <xf numFmtId="4" fontId="4" fillId="0" borderId="9" xfId="0" applyNumberFormat="1" applyFont="1" applyBorder="1"/>
    <xf numFmtId="4" fontId="3" fillId="0" borderId="5" xfId="0" applyNumberFormat="1" applyFont="1" applyBorder="1"/>
    <xf numFmtId="4" fontId="4" fillId="0" borderId="10" xfId="0" applyNumberFormat="1" applyFont="1" applyBorder="1"/>
    <xf numFmtId="4" fontId="4" fillId="0" borderId="11" xfId="0" applyNumberFormat="1" applyFont="1" applyBorder="1"/>
    <xf numFmtId="4" fontId="3" fillId="0" borderId="12" xfId="0" applyNumberFormat="1" applyFont="1" applyBorder="1"/>
    <xf numFmtId="4" fontId="3" fillId="0" borderId="13" xfId="0" applyNumberFormat="1" applyFont="1" applyBorder="1"/>
    <xf numFmtId="0" fontId="6" fillId="0" borderId="7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4" fontId="3" fillId="0" borderId="6" xfId="0" applyNumberFormat="1" applyFont="1" applyBorder="1"/>
    <xf numFmtId="0" fontId="7" fillId="0" borderId="17" xfId="0" applyFont="1" applyBorder="1"/>
    <xf numFmtId="4" fontId="3" fillId="0" borderId="8" xfId="0" applyNumberFormat="1" applyFont="1" applyBorder="1"/>
    <xf numFmtId="4" fontId="3" fillId="0" borderId="9" xfId="0" applyNumberFormat="1" applyFont="1" applyBorder="1"/>
    <xf numFmtId="4" fontId="4" fillId="0" borderId="0" xfId="0" applyNumberFormat="1" applyFont="1"/>
    <xf numFmtId="0" fontId="3" fillId="0" borderId="10" xfId="0" applyFont="1" applyBorder="1"/>
    <xf numFmtId="0" fontId="3" fillId="0" borderId="11" xfId="0" applyFont="1" applyBorder="1"/>
    <xf numFmtId="0" fontId="3" fillId="0" borderId="18" xfId="0" applyFont="1" applyBorder="1"/>
    <xf numFmtId="0" fontId="7" fillId="0" borderId="19" xfId="0" applyFont="1" applyBorder="1"/>
    <xf numFmtId="10" fontId="3" fillId="0" borderId="14" xfId="2" applyNumberFormat="1" applyFont="1" applyFill="1" applyBorder="1" applyProtection="1"/>
    <xf numFmtId="10" fontId="3" fillId="0" borderId="15" xfId="2" applyNumberFormat="1" applyFont="1" applyFill="1" applyBorder="1" applyProtection="1"/>
    <xf numFmtId="0" fontId="7" fillId="0" borderId="5" xfId="0" applyFont="1" applyBorder="1"/>
    <xf numFmtId="4" fontId="3" fillId="0" borderId="9" xfId="2" applyNumberFormat="1" applyFont="1" applyFill="1" applyBorder="1" applyProtection="1"/>
    <xf numFmtId="4" fontId="3" fillId="0" borderId="21" xfId="2" applyNumberFormat="1" applyFont="1" applyFill="1" applyBorder="1" applyProtection="1"/>
    <xf numFmtId="0" fontId="7" fillId="0" borderId="13" xfId="0" applyFont="1" applyBorder="1"/>
    <xf numFmtId="4" fontId="3" fillId="0" borderId="11" xfId="2" applyNumberFormat="1" applyFont="1" applyFill="1" applyBorder="1" applyProtection="1"/>
    <xf numFmtId="4" fontId="3" fillId="0" borderId="12" xfId="2" applyNumberFormat="1" applyFont="1" applyFill="1" applyBorder="1" applyProtection="1"/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4" fontId="3" fillId="0" borderId="22" xfId="2" applyNumberFormat="1" applyFont="1" applyFill="1" applyBorder="1" applyProtection="1"/>
    <xf numFmtId="4" fontId="3" fillId="0" borderId="23" xfId="2" applyNumberFormat="1" applyFont="1" applyFill="1" applyBorder="1" applyProtection="1"/>
    <xf numFmtId="0" fontId="11" fillId="0" borderId="0" xfId="0" applyFont="1"/>
    <xf numFmtId="164" fontId="6" fillId="0" borderId="0" xfId="1" applyFont="1"/>
    <xf numFmtId="0" fontId="0" fillId="0" borderId="0" xfId="0" applyAlignment="1">
      <alignment horizontal="center"/>
    </xf>
    <xf numFmtId="4" fontId="0" fillId="0" borderId="0" xfId="0" applyNumberFormat="1"/>
    <xf numFmtId="10" fontId="4" fillId="0" borderId="0" xfId="0" applyNumberFormat="1" applyFont="1"/>
    <xf numFmtId="164" fontId="6" fillId="0" borderId="0" xfId="1" applyFont="1" applyProtection="1"/>
    <xf numFmtId="0" fontId="13" fillId="0" borderId="0" xfId="0" applyFont="1"/>
    <xf numFmtId="0" fontId="0" fillId="0" borderId="7" xfId="0" applyBorder="1"/>
    <xf numFmtId="0" fontId="0" fillId="2" borderId="11" xfId="0" applyFill="1" applyBorder="1"/>
    <xf numFmtId="0" fontId="5" fillId="0" borderId="0" xfId="0" applyFont="1" applyAlignment="1">
      <alignment horizontal="center"/>
    </xf>
    <xf numFmtId="0" fontId="0" fillId="0" borderId="26" xfId="0" applyBorder="1"/>
    <xf numFmtId="0" fontId="11" fillId="0" borderId="46" xfId="0" applyFont="1" applyBorder="1"/>
    <xf numFmtId="0" fontId="0" fillId="0" borderId="46" xfId="0" applyBorder="1"/>
    <xf numFmtId="0" fontId="11" fillId="0" borderId="28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1" fillId="3" borderId="0" xfId="0" applyFont="1" applyFill="1" applyAlignment="1" applyProtection="1">
      <alignment horizontal="center"/>
      <protection locked="0"/>
    </xf>
    <xf numFmtId="0" fontId="11" fillId="0" borderId="10" xfId="0" applyFont="1" applyBorder="1"/>
    <xf numFmtId="4" fontId="0" fillId="0" borderId="18" xfId="0" applyNumberFormat="1" applyBorder="1"/>
    <xf numFmtId="4" fontId="0" fillId="0" borderId="48" xfId="0" applyNumberFormat="1" applyBorder="1"/>
    <xf numFmtId="4" fontId="0" fillId="0" borderId="11" xfId="0" applyNumberFormat="1" applyBorder="1"/>
    <xf numFmtId="0" fontId="12" fillId="0" borderId="0" xfId="0" applyFont="1"/>
    <xf numFmtId="4" fontId="12" fillId="0" borderId="0" xfId="0" applyNumberFormat="1" applyFont="1"/>
    <xf numFmtId="0" fontId="12" fillId="0" borderId="17" xfId="0" applyFont="1" applyBorder="1"/>
    <xf numFmtId="0" fontId="12" fillId="0" borderId="47" xfId="0" applyFont="1" applyBorder="1"/>
    <xf numFmtId="4" fontId="12" fillId="0" borderId="9" xfId="0" applyNumberFormat="1" applyFont="1" applyBorder="1"/>
    <xf numFmtId="0" fontId="12" fillId="0" borderId="25" xfId="0" applyFont="1" applyBorder="1"/>
    <xf numFmtId="0" fontId="12" fillId="0" borderId="7" xfId="0" applyFont="1" applyBorder="1"/>
    <xf numFmtId="0" fontId="5" fillId="0" borderId="0" xfId="0" applyFont="1"/>
    <xf numFmtId="4" fontId="12" fillId="0" borderId="11" xfId="0" applyNumberFormat="1" applyFont="1" applyBorder="1"/>
    <xf numFmtId="0" fontId="12" fillId="0" borderId="44" xfId="0" applyFont="1" applyBorder="1"/>
    <xf numFmtId="4" fontId="12" fillId="3" borderId="11" xfId="0" applyNumberFormat="1" applyFont="1" applyFill="1" applyBorder="1"/>
    <xf numFmtId="4" fontId="12" fillId="0" borderId="49" xfId="0" applyNumberFormat="1" applyFont="1" applyBorder="1"/>
    <xf numFmtId="4" fontId="5" fillId="0" borderId="49" xfId="0" applyNumberFormat="1" applyFont="1" applyBorder="1"/>
    <xf numFmtId="0" fontId="12" fillId="0" borderId="19" xfId="0" applyFont="1" applyBorder="1"/>
    <xf numFmtId="0" fontId="12" fillId="0" borderId="45" xfId="0" applyFont="1" applyBorder="1"/>
    <xf numFmtId="4" fontId="12" fillId="0" borderId="15" xfId="0" applyNumberFormat="1" applyFont="1" applyBorder="1"/>
    <xf numFmtId="0" fontId="12" fillId="0" borderId="41" xfId="0" applyFont="1" applyBorder="1"/>
    <xf numFmtId="0" fontId="7" fillId="0" borderId="0" xfId="0" applyFont="1" applyAlignment="1">
      <alignment horizontal="center"/>
    </xf>
    <xf numFmtId="4" fontId="0" fillId="3" borderId="12" xfId="0" applyNumberFormat="1" applyFill="1" applyBorder="1" applyProtection="1">
      <protection locked="0"/>
    </xf>
    <xf numFmtId="0" fontId="11" fillId="4" borderId="11" xfId="0" applyFont="1" applyFill="1" applyBorder="1" applyAlignment="1" applyProtection="1">
      <alignment horizontal="center"/>
      <protection locked="0"/>
    </xf>
    <xf numFmtId="4" fontId="4" fillId="4" borderId="10" xfId="0" applyNumberFormat="1" applyFont="1" applyFill="1" applyBorder="1" applyAlignment="1">
      <alignment horizontal="center"/>
    </xf>
    <xf numFmtId="4" fontId="4" fillId="4" borderId="11" xfId="0" applyNumberFormat="1" applyFont="1" applyFill="1" applyBorder="1"/>
    <xf numFmtId="4" fontId="0" fillId="2" borderId="11" xfId="0" applyNumberFormat="1" applyFill="1" applyBorder="1" applyAlignment="1">
      <alignment horizontal="center"/>
    </xf>
    <xf numFmtId="4" fontId="0" fillId="3" borderId="11" xfId="0" applyNumberFormat="1" applyFill="1" applyBorder="1" applyAlignment="1" applyProtection="1">
      <alignment horizontal="center"/>
      <protection locked="0"/>
    </xf>
    <xf numFmtId="4" fontId="0" fillId="2" borderId="12" xfId="0" applyNumberFormat="1" applyFill="1" applyBorder="1" applyAlignment="1">
      <alignment horizontal="center"/>
    </xf>
    <xf numFmtId="0" fontId="15" fillId="0" borderId="0" xfId="0" applyFont="1"/>
    <xf numFmtId="4" fontId="0" fillId="4" borderId="12" xfId="0" applyNumberFormat="1" applyFill="1" applyBorder="1" applyAlignment="1" applyProtection="1">
      <alignment horizontal="center"/>
      <protection locked="0"/>
    </xf>
    <xf numFmtId="0" fontId="8" fillId="0" borderId="28" xfId="0" applyFont="1" applyBorder="1"/>
    <xf numFmtId="0" fontId="11" fillId="0" borderId="30" xfId="0" applyFont="1" applyBorder="1"/>
    <xf numFmtId="4" fontId="11" fillId="0" borderId="31" xfId="0" applyNumberFormat="1" applyFont="1" applyBorder="1" applyAlignment="1">
      <alignment horizontal="center"/>
    </xf>
    <xf numFmtId="4" fontId="0" fillId="0" borderId="31" xfId="0" applyNumberFormat="1" applyBorder="1"/>
    <xf numFmtId="4" fontId="0" fillId="0" borderId="32" xfId="0" applyNumberFormat="1" applyBorder="1" applyAlignment="1">
      <alignment horizontal="center"/>
    </xf>
    <xf numFmtId="4" fontId="11" fillId="6" borderId="11" xfId="0" applyNumberFormat="1" applyFont="1" applyFill="1" applyBorder="1" applyProtection="1">
      <protection locked="0"/>
    </xf>
    <xf numFmtId="4" fontId="11" fillId="6" borderId="11" xfId="0" applyNumberFormat="1" applyFont="1" applyFill="1" applyBorder="1" applyAlignment="1" applyProtection="1">
      <alignment horizontal="center"/>
      <protection locked="0"/>
    </xf>
    <xf numFmtId="10" fontId="4" fillId="6" borderId="11" xfId="0" applyNumberFormat="1" applyFont="1" applyFill="1" applyBorder="1"/>
    <xf numFmtId="4" fontId="3" fillId="6" borderId="21" xfId="0" applyNumberFormat="1" applyFont="1" applyFill="1" applyBorder="1"/>
    <xf numFmtId="3" fontId="3" fillId="7" borderId="12" xfId="2" applyNumberFormat="1" applyFont="1" applyFill="1" applyBorder="1" applyAlignment="1" applyProtection="1">
      <alignment horizontal="center"/>
    </xf>
    <xf numFmtId="4" fontId="3" fillId="6" borderId="12" xfId="2" applyNumberFormat="1" applyFont="1" applyFill="1" applyBorder="1" applyProtection="1"/>
    <xf numFmtId="4" fontId="3" fillId="5" borderId="24" xfId="2" applyNumberFormat="1" applyFont="1" applyFill="1" applyBorder="1" applyProtection="1"/>
    <xf numFmtId="4" fontId="3" fillId="5" borderId="1" xfId="0" applyNumberFormat="1" applyFont="1" applyFill="1" applyBorder="1"/>
    <xf numFmtId="0" fontId="17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165" fontId="20" fillId="9" borderId="52" xfId="1" applyNumberFormat="1" applyFont="1" applyFill="1" applyBorder="1" applyProtection="1"/>
    <xf numFmtId="165" fontId="20" fillId="0" borderId="0" xfId="1" applyNumberFormat="1" applyFont="1" applyFill="1" applyBorder="1" applyProtection="1"/>
    <xf numFmtId="0" fontId="20" fillId="3" borderId="52" xfId="0" applyFont="1" applyFill="1" applyBorder="1"/>
    <xf numFmtId="3" fontId="19" fillId="10" borderId="52" xfId="0" applyNumberFormat="1" applyFont="1" applyFill="1" applyBorder="1" applyAlignment="1" applyProtection="1">
      <alignment horizontal="center"/>
      <protection locked="0"/>
    </xf>
    <xf numFmtId="0" fontId="11" fillId="7" borderId="11" xfId="0" applyFont="1" applyFill="1" applyBorder="1" applyAlignment="1" applyProtection="1">
      <alignment horizontal="center"/>
      <protection locked="0"/>
    </xf>
    <xf numFmtId="0" fontId="20" fillId="7" borderId="52" xfId="0" applyFont="1" applyFill="1" applyBorder="1"/>
    <xf numFmtId="0" fontId="7" fillId="0" borderId="1" xfId="0" applyFont="1" applyBorder="1" applyAlignment="1">
      <alignment horizontal="center"/>
    </xf>
    <xf numFmtId="4" fontId="0" fillId="2" borderId="35" xfId="0" applyNumberFormat="1" applyFill="1" applyBorder="1" applyAlignment="1">
      <alignment horizontal="center"/>
    </xf>
    <xf numFmtId="4" fontId="0" fillId="2" borderId="36" xfId="0" applyNumberFormat="1" applyFill="1" applyBorder="1" applyAlignment="1">
      <alignment horizontal="center"/>
    </xf>
    <xf numFmtId="4" fontId="0" fillId="2" borderId="15" xfId="0" applyNumberFormat="1" applyFill="1" applyBorder="1" applyAlignment="1">
      <alignment horizontal="center"/>
    </xf>
    <xf numFmtId="4" fontId="0" fillId="2" borderId="16" xfId="0" applyNumberForma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22" fillId="0" borderId="45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4" fontId="11" fillId="0" borderId="0" xfId="0" applyNumberFormat="1" applyFont="1"/>
    <xf numFmtId="0" fontId="16" fillId="0" borderId="0" xfId="0" applyFont="1"/>
    <xf numFmtId="0" fontId="1" fillId="0" borderId="0" xfId="0" applyFont="1"/>
    <xf numFmtId="0" fontId="1" fillId="0" borderId="7" xfId="0" applyFont="1" applyBorder="1"/>
    <xf numFmtId="4" fontId="0" fillId="6" borderId="11" xfId="0" applyNumberFormat="1" applyFill="1" applyBorder="1" applyAlignment="1" applyProtection="1">
      <alignment horizontal="center"/>
      <protection locked="0"/>
    </xf>
    <xf numFmtId="0" fontId="11" fillId="0" borderId="27" xfId="0" applyFont="1" applyBorder="1"/>
    <xf numFmtId="4" fontId="11" fillId="0" borderId="28" xfId="0" applyNumberFormat="1" applyFont="1" applyBorder="1" applyAlignment="1">
      <alignment horizontal="center"/>
    </xf>
    <xf numFmtId="4" fontId="0" fillId="0" borderId="29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11" fillId="0" borderId="0" xfId="0" applyNumberFormat="1" applyFont="1" applyAlignment="1">
      <alignment horizontal="center"/>
    </xf>
    <xf numFmtId="4" fontId="0" fillId="0" borderId="0" xfId="0" applyNumberFormat="1" applyProtection="1">
      <protection locked="0"/>
    </xf>
    <xf numFmtId="4" fontId="0" fillId="0" borderId="28" xfId="0" applyNumberFormat="1" applyBorder="1"/>
    <xf numFmtId="4" fontId="11" fillId="0" borderId="29" xfId="0" applyNumberFormat="1" applyFont="1" applyBorder="1" applyAlignment="1">
      <alignment horizontal="center"/>
    </xf>
    <xf numFmtId="0" fontId="11" fillId="0" borderId="14" xfId="0" applyFont="1" applyBorder="1"/>
    <xf numFmtId="4" fontId="0" fillId="0" borderId="15" xfId="0" applyNumberFormat="1" applyBorder="1"/>
    <xf numFmtId="4" fontId="0" fillId="3" borderId="15" xfId="0" applyNumberFormat="1" applyFill="1" applyBorder="1" applyAlignment="1" applyProtection="1">
      <alignment horizontal="center"/>
      <protection locked="0"/>
    </xf>
    <xf numFmtId="0" fontId="0" fillId="2" borderId="18" xfId="0" applyFill="1" applyBorder="1" applyAlignment="1">
      <alignment horizontal="center"/>
    </xf>
    <xf numFmtId="10" fontId="11" fillId="6" borderId="18" xfId="0" applyNumberFormat="1" applyFont="1" applyFill="1" applyBorder="1" applyAlignment="1" applyProtection="1">
      <alignment horizontal="center"/>
      <protection locked="0"/>
    </xf>
    <xf numFmtId="0" fontId="0" fillId="0" borderId="13" xfId="0" applyBorder="1"/>
    <xf numFmtId="4" fontId="0" fillId="6" borderId="15" xfId="0" applyNumberFormat="1" applyFill="1" applyBorder="1" applyAlignment="1" applyProtection="1">
      <alignment horizontal="center"/>
      <protection locked="0"/>
    </xf>
    <xf numFmtId="4" fontId="0" fillId="0" borderId="57" xfId="0" applyNumberFormat="1" applyBorder="1"/>
    <xf numFmtId="4" fontId="0" fillId="0" borderId="46" xfId="0" applyNumberFormat="1" applyBorder="1" applyAlignment="1">
      <alignment horizontal="center"/>
    </xf>
    <xf numFmtId="4" fontId="0" fillId="0" borderId="58" xfId="0" applyNumberFormat="1" applyBorder="1" applyAlignment="1">
      <alignment horizontal="center"/>
    </xf>
    <xf numFmtId="4" fontId="0" fillId="0" borderId="46" xfId="0" applyNumberFormat="1" applyBorder="1"/>
    <xf numFmtId="4" fontId="0" fillId="0" borderId="58" xfId="0" applyNumberFormat="1" applyBorder="1"/>
    <xf numFmtId="0" fontId="11" fillId="0" borderId="22" xfId="0" applyFont="1" applyBorder="1"/>
    <xf numFmtId="4" fontId="0" fillId="0" borderId="23" xfId="0" applyNumberFormat="1" applyBorder="1"/>
    <xf numFmtId="0" fontId="0" fillId="0" borderId="23" xfId="0" applyBorder="1"/>
    <xf numFmtId="0" fontId="8" fillId="0" borderId="29" xfId="0" applyFont="1" applyBorder="1"/>
    <xf numFmtId="0" fontId="0" fillId="2" borderId="12" xfId="0" applyFill="1" applyBorder="1"/>
    <xf numFmtId="4" fontId="0" fillId="3" borderId="24" xfId="0" applyNumberFormat="1" applyFill="1" applyBorder="1" applyProtection="1">
      <protection locked="0"/>
    </xf>
    <xf numFmtId="0" fontId="1" fillId="0" borderId="34" xfId="0" applyFont="1" applyBorder="1"/>
    <xf numFmtId="4" fontId="0" fillId="6" borderId="35" xfId="0" applyNumberFormat="1" applyFill="1" applyBorder="1" applyAlignment="1" applyProtection="1">
      <alignment horizontal="center"/>
      <protection locked="0"/>
    </xf>
    <xf numFmtId="0" fontId="12" fillId="13" borderId="0" xfId="0" applyFont="1" applyFill="1"/>
    <xf numFmtId="0" fontId="16" fillId="0" borderId="0" xfId="0" applyFont="1" applyAlignment="1">
      <alignment horizontal="center"/>
    </xf>
    <xf numFmtId="0" fontId="11" fillId="0" borderId="0" xfId="0" applyFont="1" applyAlignment="1" applyProtection="1">
      <alignment horizontal="center"/>
      <protection locked="0"/>
    </xf>
    <xf numFmtId="4" fontId="0" fillId="3" borderId="48" xfId="0" applyNumberFormat="1" applyFill="1" applyBorder="1" applyAlignment="1" applyProtection="1">
      <alignment horizontal="center"/>
      <protection locked="0"/>
    </xf>
    <xf numFmtId="3" fontId="11" fillId="0" borderId="31" xfId="0" applyNumberFormat="1" applyFont="1" applyBorder="1" applyAlignment="1">
      <alignment horizontal="center"/>
    </xf>
    <xf numFmtId="0" fontId="0" fillId="0" borderId="42" xfId="0" applyBorder="1"/>
    <xf numFmtId="0" fontId="11" fillId="0" borderId="59" xfId="0" applyFont="1" applyBorder="1"/>
    <xf numFmtId="0" fontId="0" fillId="0" borderId="59" xfId="0" applyBorder="1"/>
    <xf numFmtId="0" fontId="11" fillId="0" borderId="43" xfId="0" applyFont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1" fillId="0" borderId="62" xfId="0" applyFont="1" applyBorder="1"/>
    <xf numFmtId="4" fontId="11" fillId="0" borderId="63" xfId="0" applyNumberFormat="1" applyFont="1" applyBorder="1" applyProtection="1">
      <protection locked="0"/>
    </xf>
    <xf numFmtId="0" fontId="0" fillId="0" borderId="63" xfId="0" applyBorder="1"/>
    <xf numFmtId="0" fontId="0" fillId="0" borderId="64" xfId="0" applyBorder="1"/>
    <xf numFmtId="0" fontId="11" fillId="0" borderId="60" xfId="0" applyFont="1" applyBorder="1" applyAlignment="1">
      <alignment horizontal="center"/>
    </xf>
    <xf numFmtId="0" fontId="11" fillId="0" borderId="63" xfId="0" applyFont="1" applyBorder="1" applyAlignment="1" applyProtection="1">
      <alignment horizontal="center"/>
      <protection locked="0"/>
    </xf>
    <xf numFmtId="0" fontId="0" fillId="0" borderId="64" xfId="0" applyBorder="1" applyAlignment="1">
      <alignment horizontal="center"/>
    </xf>
    <xf numFmtId="4" fontId="11" fillId="6" borderId="18" xfId="0" applyNumberFormat="1" applyFont="1" applyFill="1" applyBorder="1" applyAlignment="1" applyProtection="1">
      <alignment horizontal="center"/>
      <protection locked="0"/>
    </xf>
    <xf numFmtId="0" fontId="11" fillId="0" borderId="12" xfId="0" applyFont="1" applyBorder="1" applyAlignment="1">
      <alignment horizontal="center"/>
    </xf>
    <xf numFmtId="4" fontId="4" fillId="6" borderId="11" xfId="0" applyNumberFormat="1" applyFont="1" applyFill="1" applyBorder="1"/>
    <xf numFmtId="0" fontId="0" fillId="0" borderId="12" xfId="0" applyBorder="1"/>
    <xf numFmtId="0" fontId="10" fillId="0" borderId="62" xfId="0" applyFont="1" applyBorder="1"/>
    <xf numFmtId="4" fontId="0" fillId="0" borderId="62" xfId="0" applyNumberFormat="1" applyBorder="1" applyAlignment="1" applyProtection="1">
      <alignment horizontal="center"/>
      <protection locked="0"/>
    </xf>
    <xf numFmtId="0" fontId="0" fillId="0" borderId="65" xfId="0" applyBorder="1"/>
    <xf numFmtId="0" fontId="0" fillId="0" borderId="66" xfId="0" applyBorder="1"/>
    <xf numFmtId="0" fontId="11" fillId="0" borderId="67" xfId="0" applyFont="1" applyBorder="1"/>
    <xf numFmtId="0" fontId="0" fillId="0" borderId="67" xfId="0" applyBorder="1"/>
    <xf numFmtId="0" fontId="0" fillId="0" borderId="68" xfId="0" applyBorder="1"/>
    <xf numFmtId="0" fontId="0" fillId="0" borderId="44" xfId="0" applyBorder="1"/>
    <xf numFmtId="0" fontId="22" fillId="0" borderId="18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8" xfId="0" applyBorder="1"/>
    <xf numFmtId="0" fontId="1" fillId="0" borderId="33" xfId="0" applyFont="1" applyBorder="1" applyAlignment="1">
      <alignment horizontal="left"/>
    </xf>
    <xf numFmtId="0" fontId="22" fillId="0" borderId="7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/>
    <xf numFmtId="0" fontId="0" fillId="0" borderId="19" xfId="0" applyBorder="1"/>
    <xf numFmtId="4" fontId="11" fillId="6" borderId="31" xfId="0" applyNumberFormat="1" applyFont="1" applyFill="1" applyBorder="1" applyProtection="1">
      <protection locked="0"/>
    </xf>
    <xf numFmtId="0" fontId="11" fillId="4" borderId="31" xfId="0" applyFont="1" applyFill="1" applyBorder="1" applyAlignment="1" applyProtection="1">
      <alignment horizontal="center"/>
      <protection locked="0"/>
    </xf>
    <xf numFmtId="4" fontId="0" fillId="3" borderId="31" xfId="0" applyNumberFormat="1" applyFill="1" applyBorder="1" applyAlignment="1" applyProtection="1">
      <alignment horizontal="center"/>
      <protection locked="0"/>
    </xf>
    <xf numFmtId="4" fontId="0" fillId="3" borderId="51" xfId="0" applyNumberFormat="1" applyFill="1" applyBorder="1" applyAlignment="1" applyProtection="1">
      <alignment horizontal="center"/>
      <protection locked="0"/>
    </xf>
    <xf numFmtId="4" fontId="0" fillId="11" borderId="31" xfId="0" applyNumberForma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2" fillId="0" borderId="47" xfId="0" applyFont="1" applyBorder="1"/>
    <xf numFmtId="0" fontId="2" fillId="0" borderId="25" xfId="0" applyFont="1" applyBorder="1"/>
    <xf numFmtId="0" fontId="2" fillId="0" borderId="47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44" xfId="0" applyFont="1" applyBorder="1"/>
    <xf numFmtId="4" fontId="2" fillId="6" borderId="10" xfId="0" applyNumberFormat="1" applyFont="1" applyFill="1" applyBorder="1"/>
    <xf numFmtId="4" fontId="2" fillId="6" borderId="11" xfId="0" applyNumberFormat="1" applyFont="1" applyFill="1" applyBorder="1"/>
    <xf numFmtId="4" fontId="2" fillId="6" borderId="12" xfId="0" applyNumberFormat="1" applyFont="1" applyFill="1" applyBorder="1"/>
    <xf numFmtId="4" fontId="2" fillId="0" borderId="10" xfId="0" applyNumberFormat="1" applyFont="1" applyBorder="1"/>
    <xf numFmtId="4" fontId="2" fillId="0" borderId="11" xfId="0" applyNumberFormat="1" applyFont="1" applyBorder="1"/>
    <xf numFmtId="4" fontId="2" fillId="0" borderId="12" xfId="0" applyNumberFormat="1" applyFont="1" applyBorder="1"/>
    <xf numFmtId="4" fontId="2" fillId="0" borderId="0" xfId="0" applyNumberFormat="1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12" borderId="10" xfId="0" applyFont="1" applyFill="1" applyBorder="1"/>
    <xf numFmtId="4" fontId="2" fillId="12" borderId="11" xfId="0" applyNumberFormat="1" applyFont="1" applyFill="1" applyBorder="1"/>
    <xf numFmtId="0" fontId="2" fillId="12" borderId="11" xfId="0" applyFont="1" applyFill="1" applyBorder="1"/>
    <xf numFmtId="4" fontId="2" fillId="5" borderId="12" xfId="0" applyNumberFormat="1" applyFont="1" applyFill="1" applyBorder="1"/>
    <xf numFmtId="0" fontId="2" fillId="0" borderId="45" xfId="0" applyFont="1" applyBorder="1"/>
    <xf numFmtId="0" fontId="2" fillId="0" borderId="41" xfId="0" applyFont="1" applyBorder="1"/>
    <xf numFmtId="0" fontId="2" fillId="12" borderId="14" xfId="0" applyFont="1" applyFill="1" applyBorder="1"/>
    <xf numFmtId="4" fontId="9" fillId="12" borderId="15" xfId="0" applyNumberFormat="1" applyFont="1" applyFill="1" applyBorder="1"/>
    <xf numFmtId="0" fontId="2" fillId="12" borderId="15" xfId="0" applyFont="1" applyFill="1" applyBorder="1"/>
    <xf numFmtId="4" fontId="9" fillId="5" borderId="53" xfId="0" applyNumberFormat="1" applyFont="1" applyFill="1" applyBorder="1"/>
    <xf numFmtId="0" fontId="2" fillId="0" borderId="17" xfId="0" applyFont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9" xfId="0" applyFont="1" applyBorder="1"/>
    <xf numFmtId="4" fontId="2" fillId="0" borderId="38" xfId="0" applyNumberFormat="1" applyFont="1" applyBorder="1"/>
    <xf numFmtId="4" fontId="2" fillId="0" borderId="39" xfId="0" applyNumberFormat="1" applyFont="1" applyBorder="1"/>
    <xf numFmtId="10" fontId="9" fillId="5" borderId="40" xfId="0" applyNumberFormat="1" applyFont="1" applyFill="1" applyBorder="1" applyAlignment="1">
      <alignment horizontal="center"/>
    </xf>
    <xf numFmtId="0" fontId="0" fillId="0" borderId="20" xfId="0" applyBorder="1"/>
    <xf numFmtId="4" fontId="0" fillId="0" borderId="73" xfId="0" applyNumberFormat="1" applyBorder="1"/>
    <xf numFmtId="0" fontId="11" fillId="0" borderId="54" xfId="0" applyFont="1" applyBorder="1" applyAlignment="1">
      <alignment horizontal="center"/>
    </xf>
    <xf numFmtId="3" fontId="0" fillId="6" borderId="11" xfId="0" applyNumberFormat="1" applyFill="1" applyBorder="1" applyAlignment="1" applyProtection="1">
      <alignment horizontal="center"/>
      <protection locked="0"/>
    </xf>
    <xf numFmtId="3" fontId="0" fillId="6" borderId="15" xfId="0" applyNumberFormat="1" applyFill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4" xfId="0" applyFont="1" applyBorder="1" applyAlignment="1">
      <alignment horizontal="center"/>
    </xf>
    <xf numFmtId="0" fontId="2" fillId="0" borderId="7" xfId="0" applyFont="1" applyBorder="1"/>
    <xf numFmtId="0" fontId="9" fillId="0" borderId="19" xfId="0" applyFont="1" applyBorder="1"/>
    <xf numFmtId="0" fontId="9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23" fillId="0" borderId="17" xfId="0" applyFont="1" applyBorder="1"/>
    <xf numFmtId="4" fontId="23" fillId="0" borderId="8" xfId="0" applyNumberFormat="1" applyFont="1" applyBorder="1" applyAlignment="1">
      <alignment horizontal="center"/>
    </xf>
    <xf numFmtId="4" fontId="23" fillId="0" borderId="9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3" fillId="14" borderId="8" xfId="2" applyNumberFormat="1" applyFont="1" applyFill="1" applyBorder="1" applyProtection="1"/>
    <xf numFmtId="4" fontId="3" fillId="14" borderId="10" xfId="2" applyNumberFormat="1" applyFont="1" applyFill="1" applyBorder="1" applyProtection="1"/>
    <xf numFmtId="3" fontId="3" fillId="14" borderId="10" xfId="2" applyNumberFormat="1" applyFont="1" applyFill="1" applyBorder="1" applyAlignment="1" applyProtection="1">
      <alignment horizontal="center"/>
    </xf>
    <xf numFmtId="0" fontId="7" fillId="0" borderId="7" xfId="0" applyFont="1" applyBorder="1"/>
    <xf numFmtId="10" fontId="3" fillId="0" borderId="10" xfId="2" applyNumberFormat="1" applyFont="1" applyFill="1" applyBorder="1" applyProtection="1"/>
    <xf numFmtId="10" fontId="3" fillId="0" borderId="11" xfId="2" applyNumberFormat="1" applyFont="1" applyFill="1" applyBorder="1" applyAlignment="1" applyProtection="1">
      <alignment horizontal="center"/>
    </xf>
    <xf numFmtId="10" fontId="3" fillId="0" borderId="24" xfId="2" applyNumberFormat="1" applyFont="1" applyFill="1" applyBorder="1" applyAlignment="1" applyProtection="1">
      <alignment horizontal="center"/>
    </xf>
    <xf numFmtId="10" fontId="3" fillId="0" borderId="48" xfId="2" applyNumberFormat="1" applyFont="1" applyFill="1" applyBorder="1" applyAlignment="1" applyProtection="1">
      <alignment horizontal="center"/>
    </xf>
    <xf numFmtId="4" fontId="3" fillId="0" borderId="13" xfId="0" applyNumberFormat="1" applyFont="1" applyBorder="1" applyAlignment="1">
      <alignment horizontal="center"/>
    </xf>
    <xf numFmtId="4" fontId="3" fillId="5" borderId="23" xfId="2" applyNumberFormat="1" applyFont="1" applyFill="1" applyBorder="1" applyProtection="1"/>
    <xf numFmtId="4" fontId="3" fillId="6" borderId="11" xfId="2" applyNumberFormat="1" applyFont="1" applyFill="1" applyBorder="1" applyProtection="1"/>
    <xf numFmtId="3" fontId="3" fillId="11" borderId="11" xfId="2" applyNumberFormat="1" applyFont="1" applyFill="1" applyBorder="1" applyAlignment="1" applyProtection="1">
      <alignment horizontal="center"/>
    </xf>
    <xf numFmtId="4" fontId="7" fillId="0" borderId="22" xfId="2" applyNumberFormat="1" applyFont="1" applyFill="1" applyBorder="1" applyProtection="1"/>
    <xf numFmtId="0" fontId="8" fillId="0" borderId="1" xfId="0" applyFont="1" applyBorder="1"/>
    <xf numFmtId="4" fontId="3" fillId="0" borderId="24" xfId="2" applyNumberFormat="1" applyFont="1" applyFill="1" applyBorder="1" applyProtection="1"/>
    <xf numFmtId="0" fontId="1" fillId="0" borderId="0" xfId="0" applyFont="1" applyAlignment="1">
      <alignment horizontal="center"/>
    </xf>
    <xf numFmtId="10" fontId="4" fillId="0" borderId="11" xfId="2" applyNumberFormat="1" applyFont="1" applyFill="1" applyBorder="1" applyProtection="1"/>
    <xf numFmtId="4" fontId="4" fillId="0" borderId="14" xfId="0" applyNumberFormat="1" applyFont="1" applyBorder="1" applyAlignment="1">
      <alignment horizontal="center"/>
    </xf>
    <xf numFmtId="10" fontId="4" fillId="0" borderId="15" xfId="2" applyNumberFormat="1" applyFont="1" applyFill="1" applyBorder="1" applyProtection="1"/>
    <xf numFmtId="4" fontId="3" fillId="0" borderId="16" xfId="0" applyNumberFormat="1" applyFont="1" applyBorder="1"/>
    <xf numFmtId="10" fontId="3" fillId="8" borderId="15" xfId="2" applyNumberFormat="1" applyFont="1" applyFill="1" applyBorder="1" applyAlignment="1" applyProtection="1">
      <alignment horizontal="center"/>
    </xf>
    <xf numFmtId="10" fontId="3" fillId="0" borderId="15" xfId="2" applyNumberFormat="1" applyFont="1" applyFill="1" applyBorder="1" applyAlignment="1" applyProtection="1">
      <alignment horizontal="center"/>
    </xf>
    <xf numFmtId="10" fontId="3" fillId="8" borderId="20" xfId="2" applyNumberFormat="1" applyFont="1" applyFill="1" applyBorder="1" applyAlignment="1" applyProtection="1">
      <alignment horizontal="center"/>
    </xf>
    <xf numFmtId="10" fontId="3" fillId="8" borderId="6" xfId="2" applyNumberFormat="1" applyFont="1" applyFill="1" applyBorder="1" applyAlignment="1" applyProtection="1">
      <alignment horizontal="center"/>
    </xf>
    <xf numFmtId="4" fontId="1" fillId="0" borderId="18" xfId="0" applyNumberFormat="1" applyFont="1" applyBorder="1"/>
    <xf numFmtId="0" fontId="11" fillId="0" borderId="7" xfId="0" applyFont="1" applyBorder="1"/>
    <xf numFmtId="4" fontId="0" fillId="3" borderId="18" xfId="0" applyNumberFormat="1" applyFill="1" applyBorder="1" applyProtection="1">
      <protection locked="0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0" fillId="11" borderId="18" xfId="0" applyNumberFormat="1" applyFill="1" applyBorder="1" applyAlignment="1" applyProtection="1">
      <alignment horizontal="center"/>
      <protection locked="0"/>
    </xf>
    <xf numFmtId="4" fontId="0" fillId="11" borderId="48" xfId="0" applyNumberFormat="1" applyFill="1" applyBorder="1" applyAlignment="1" applyProtection="1">
      <alignment horizontal="center"/>
      <protection locked="0"/>
    </xf>
    <xf numFmtId="4" fontId="0" fillId="3" borderId="18" xfId="0" applyNumberFormat="1" applyFill="1" applyBorder="1" applyAlignment="1" applyProtection="1">
      <alignment horizontal="center"/>
      <protection locked="0"/>
    </xf>
    <xf numFmtId="4" fontId="0" fillId="3" borderId="44" xfId="0" applyNumberFormat="1" applyFill="1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0" fillId="0" borderId="68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22" fillId="0" borderId="55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0" fillId="0" borderId="44" xfId="0" applyBorder="1" applyAlignment="1" applyProtection="1">
      <alignment horizontal="center"/>
      <protection locked="0"/>
    </xf>
    <xf numFmtId="0" fontId="22" fillId="0" borderId="18" xfId="0" applyFont="1" applyBorder="1" applyAlignment="1">
      <alignment horizontal="center"/>
    </xf>
    <xf numFmtId="0" fontId="0" fillId="0" borderId="44" xfId="0" applyBorder="1" applyAlignment="1">
      <alignment horizontal="center"/>
    </xf>
    <xf numFmtId="4" fontId="11" fillId="5" borderId="20" xfId="0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/>
    <xf numFmtId="0" fontId="0" fillId="0" borderId="54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37" xfId="0" applyBorder="1" applyAlignment="1">
      <alignment horizontal="center"/>
    </xf>
    <xf numFmtId="4" fontId="0" fillId="0" borderId="20" xfId="0" applyNumberFormat="1" applyBorder="1"/>
    <xf numFmtId="0" fontId="0" fillId="0" borderId="45" xfId="0" applyBorder="1"/>
    <xf numFmtId="0" fontId="0" fillId="0" borderId="54" xfId="0" applyBorder="1"/>
    <xf numFmtId="0" fontId="16" fillId="0" borderId="17" xfId="0" applyFont="1" applyBorder="1" applyAlignment="1">
      <alignment horizontal="center"/>
    </xf>
    <xf numFmtId="0" fontId="0" fillId="0" borderId="47" xfId="0" applyBorder="1"/>
    <xf numFmtId="0" fontId="0" fillId="0" borderId="25" xfId="0" applyBorder="1"/>
    <xf numFmtId="0" fontId="0" fillId="0" borderId="19" xfId="0" applyBorder="1"/>
    <xf numFmtId="0" fontId="0" fillId="0" borderId="41" xfId="0" applyBorder="1"/>
    <xf numFmtId="0" fontId="0" fillId="0" borderId="3" xfId="0" applyBorder="1"/>
    <xf numFmtId="0" fontId="0" fillId="0" borderId="4" xfId="0" applyBorder="1"/>
    <xf numFmtId="0" fontId="1" fillId="0" borderId="50" xfId="0" applyFont="1" applyBorder="1"/>
    <xf numFmtId="0" fontId="0" fillId="0" borderId="72" xfId="0" applyBorder="1"/>
    <xf numFmtId="0" fontId="0" fillId="0" borderId="51" xfId="0" applyBorder="1"/>
    <xf numFmtId="4" fontId="10" fillId="0" borderId="55" xfId="0" applyNumberFormat="1" applyFont="1" applyBorder="1" applyAlignment="1">
      <alignment horizontal="left"/>
    </xf>
    <xf numFmtId="0" fontId="0" fillId="0" borderId="71" xfId="0" applyBorder="1"/>
    <xf numFmtId="0" fontId="0" fillId="0" borderId="56" xfId="0" applyBorder="1"/>
    <xf numFmtId="4" fontId="0" fillId="0" borderId="18" xfId="0" applyNumberFormat="1" applyBorder="1"/>
    <xf numFmtId="0" fontId="0" fillId="0" borderId="48" xfId="0" applyBorder="1"/>
    <xf numFmtId="0" fontId="16" fillId="0" borderId="0" xfId="0" applyFont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EBAB8"/>
      <color rgb="FF00FF00"/>
      <color rgb="FFFF0000"/>
      <color rgb="FF2CAD1B"/>
      <color rgb="FFFC56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Taux de MSCV par bateau</a:t>
            </a:r>
          </a:p>
        </c:rich>
      </c:tx>
      <c:layout>
        <c:manualLayout>
          <c:xMode val="edge"/>
          <c:yMode val="edge"/>
          <c:x val="0.21172672634161768"/>
          <c:y val="3.8022813688212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618941207345057"/>
          <c:y val="0.35361216730038197"/>
          <c:w val="0.64820950002783362"/>
          <c:h val="0.349809885931561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'Synthèse des résultats'!$B$50:$D$50</c:f>
              <c:strCache>
                <c:ptCount val="3"/>
                <c:pt idx="0">
                  <c:v>Pech4</c:v>
                </c:pt>
                <c:pt idx="1">
                  <c:v>Prom5.5</c:v>
                </c:pt>
                <c:pt idx="2">
                  <c:v>Stan8</c:v>
                </c:pt>
              </c:strCache>
            </c:strRef>
          </c:cat>
          <c:val>
            <c:numRef>
              <c:f>'Synthèse des résultats'!$B$51:$D$51</c:f>
              <c:numCache>
                <c:formatCode>#,##0</c:formatCode>
                <c:ptCount val="3"/>
                <c:pt idx="0" formatCode="#,##0.00">
                  <c:v>51.249999999999993</c:v>
                </c:pt>
                <c:pt idx="1">
                  <c:v>49.6</c:v>
                </c:pt>
                <c:pt idx="2" formatCode="#,##0.00">
                  <c:v>58.383333333333333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7-4DE2-B219-EF2C208DD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61920"/>
        <c:axId val="119403264"/>
      </c:barChart>
      <c:catAx>
        <c:axId val="10136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 </a:t>
                </a:r>
              </a:p>
            </c:rich>
          </c:tx>
          <c:layout>
            <c:manualLayout>
              <c:xMode val="edge"/>
              <c:yMode val="edge"/>
              <c:x val="0.35900621003810596"/>
              <c:y val="0.820664427993007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403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403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 %</a:t>
                </a:r>
              </a:p>
            </c:rich>
          </c:tx>
          <c:layout>
            <c:manualLayout>
              <c:xMode val="edge"/>
              <c:yMode val="edge"/>
              <c:x val="5.2117263843648745E-2"/>
              <c:y val="0.456273764258555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136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117" footer="0.4921259845000011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1400"/>
              <a:t>Marge de contribution par bateau</a:t>
            </a:r>
          </a:p>
        </c:rich>
      </c:tx>
      <c:layout>
        <c:manualLayout>
          <c:xMode val="edge"/>
          <c:yMode val="edge"/>
          <c:x val="0.15693468973312732"/>
          <c:y val="3.83141762452107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102239860572287"/>
          <c:y val="0.30268312486202731"/>
          <c:w val="0.66788440188113363"/>
          <c:h val="0.46743469915401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FF"/>
            </a:solidFill>
            <a:ln w="254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'Synthèse des résultats'!$B$52:$D$52</c:f>
              <c:strCache>
                <c:ptCount val="3"/>
                <c:pt idx="0">
                  <c:v>Pech4</c:v>
                </c:pt>
                <c:pt idx="1">
                  <c:v>Prom5.5</c:v>
                </c:pt>
                <c:pt idx="2">
                  <c:v>Stan8</c:v>
                </c:pt>
              </c:strCache>
            </c:strRef>
          </c:cat>
          <c:val>
            <c:numRef>
              <c:f>'Synthèse des résultats'!$B$53:$D$53</c:f>
              <c:numCache>
                <c:formatCode>#,##0.00</c:formatCode>
                <c:ptCount val="3"/>
                <c:pt idx="0">
                  <c:v>183.00000000000003</c:v>
                </c:pt>
                <c:pt idx="1">
                  <c:v>345.7</c:v>
                </c:pt>
                <c:pt idx="2">
                  <c:v>170.15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12-4288-A22C-F765651F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58752"/>
        <c:axId val="158062080"/>
      </c:barChart>
      <c:catAx>
        <c:axId val="1580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8062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062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en K euros</a:t>
                </a:r>
              </a:p>
            </c:rich>
          </c:tx>
          <c:layout>
            <c:manualLayout>
              <c:xMode val="edge"/>
              <c:yMode val="edge"/>
              <c:x val="5.8394160583941819E-2"/>
              <c:y val="0.4099632948180328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8058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117" footer="0.4921259845000011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Taux de MSCV par bateau</a:t>
            </a:r>
          </a:p>
        </c:rich>
      </c:tx>
      <c:layout>
        <c:manualLayout>
          <c:xMode val="edge"/>
          <c:yMode val="edge"/>
          <c:x val="0.32178217821782445"/>
          <c:y val="4.0650406504065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792079207920791"/>
          <c:y val="0.22357812332524818"/>
          <c:w val="0.75742574257425765"/>
          <c:h val="0.520327268829665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Marges!$N$15:$P$15</c:f>
              <c:numCache>
                <c:formatCode>0.00%</c:formatCode>
                <c:ptCount val="3"/>
                <c:pt idx="0">
                  <c:v>0.51249999999999996</c:v>
                </c:pt>
                <c:pt idx="1">
                  <c:v>0.496</c:v>
                </c:pt>
                <c:pt idx="2">
                  <c:v>0.58383333333333332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5-4E1A-83E9-27294CD7A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027712"/>
        <c:axId val="217029632"/>
      </c:barChart>
      <c:catAx>
        <c:axId val="21702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Pech4                              Prom5.5                                  Stan8</a:t>
                </a:r>
              </a:p>
            </c:rich>
          </c:tx>
          <c:layout>
            <c:manualLayout>
              <c:xMode val="edge"/>
              <c:yMode val="edge"/>
              <c:x val="0.28821798865599058"/>
              <c:y val="0.853661942257217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702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7029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Taux de MSCV</a:t>
                </a:r>
              </a:p>
            </c:rich>
          </c:tx>
          <c:layout>
            <c:manualLayout>
              <c:xMode val="edge"/>
              <c:yMode val="edge"/>
              <c:x val="3.9603960396039611E-2"/>
              <c:y val="0.3170744510594737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7027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117" footer="0.4921259845000011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Marge de contribution par bateau</a:t>
            </a:r>
          </a:p>
        </c:rich>
      </c:tx>
      <c:layout>
        <c:manualLayout>
          <c:xMode val="edge"/>
          <c:yMode val="edge"/>
          <c:x val="0.27047172453319263"/>
          <c:y val="2.69230769230770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62065105053294"/>
          <c:y val="0.21538461538461537"/>
          <c:w val="0.58064586481014568"/>
          <c:h val="0.54230769230769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25400">
              <a:solidFill>
                <a:srgbClr val="000000"/>
              </a:solidFill>
              <a:prstDash val="solid"/>
            </a:ln>
          </c:spPr>
          <c:invertIfNegative val="1"/>
          <c:val>
            <c:numRef>
              <c:f>Marges!$N$26:$P$26</c:f>
              <c:numCache>
                <c:formatCode>#,##0.00</c:formatCode>
                <c:ptCount val="3"/>
                <c:pt idx="0">
                  <c:v>183000.00000000003</c:v>
                </c:pt>
                <c:pt idx="1">
                  <c:v>345700</c:v>
                </c:pt>
                <c:pt idx="2">
                  <c:v>170150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3F-4C41-9D1F-C1693AF4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56480"/>
        <c:axId val="53207808"/>
      </c:barChart>
      <c:catAx>
        <c:axId val="5315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 i="0" baseline="0"/>
                  <a:t>Pech4                      Prom5.5                    Stan8</a:t>
                </a:r>
                <a:endParaRPr lang="fr-FR" sz="800"/>
              </a:p>
            </c:rich>
          </c:tx>
          <c:layout>
            <c:manualLayout>
              <c:xMode val="edge"/>
              <c:yMode val="edge"/>
              <c:x val="0.29860746573345054"/>
              <c:y val="0.825641025641026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207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207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euros</a:t>
                </a:r>
              </a:p>
            </c:rich>
          </c:tx>
          <c:layout>
            <c:manualLayout>
              <c:xMode val="edge"/>
              <c:yMode val="edge"/>
              <c:x val="3.9702233250620382E-2"/>
              <c:y val="0.415384615384619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315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117" footer="0.49212598450000117"/>
    <c:pageSetup paperSize="9" orientation="landscape" verticalDpi="0"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23</xdr:row>
      <xdr:rowOff>85725</xdr:rowOff>
    </xdr:from>
    <xdr:to>
      <xdr:col>12</xdr:col>
      <xdr:colOff>714375</xdr:colOff>
      <xdr:row>26</xdr:row>
      <xdr:rowOff>28575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6791325" y="4257675"/>
          <a:ext cx="1266825" cy="43815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200"/>
            <a:t>Voir le Compte de résultat</a:t>
          </a:r>
        </a:p>
      </xdr:txBody>
    </xdr:sp>
    <xdr:clientData/>
  </xdr:twoCellAnchor>
  <xdr:twoCellAnchor>
    <xdr:from>
      <xdr:col>14</xdr:col>
      <xdr:colOff>723900</xdr:colOff>
      <xdr:row>23</xdr:row>
      <xdr:rowOff>104775</xdr:rowOff>
    </xdr:from>
    <xdr:to>
      <xdr:col>16</xdr:col>
      <xdr:colOff>752475</xdr:colOff>
      <xdr:row>26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9591675" y="4276725"/>
          <a:ext cx="1571625" cy="43815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200"/>
            <a:t>Voir le Bilan</a:t>
          </a:r>
        </a:p>
      </xdr:txBody>
    </xdr:sp>
    <xdr:clientData/>
  </xdr:twoCellAnchor>
  <xdr:twoCellAnchor>
    <xdr:from>
      <xdr:col>9</xdr:col>
      <xdr:colOff>457200</xdr:colOff>
      <xdr:row>26</xdr:row>
      <xdr:rowOff>9525</xdr:rowOff>
    </xdr:from>
    <xdr:to>
      <xdr:col>11</xdr:col>
      <xdr:colOff>333375</xdr:colOff>
      <xdr:row>31</xdr:row>
      <xdr:rowOff>38100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 bwMode="auto">
        <a:xfrm flipH="1">
          <a:off x="6010275" y="4676775"/>
          <a:ext cx="809625" cy="1019175"/>
        </a:xfrm>
        <a:prstGeom prst="straightConnector1">
          <a:avLst/>
        </a:prstGeom>
        <a:solidFill>
          <a:srgbClr val="0900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600075</xdr:colOff>
      <xdr:row>26</xdr:row>
      <xdr:rowOff>47625</xdr:rowOff>
    </xdr:from>
    <xdr:to>
      <xdr:col>15</xdr:col>
      <xdr:colOff>747713</xdr:colOff>
      <xdr:row>30</xdr:row>
      <xdr:rowOff>66675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8" idx="2"/>
        </xdr:cNvCxnSpPr>
      </xdr:nvCxnSpPr>
      <xdr:spPr bwMode="auto">
        <a:xfrm flipH="1">
          <a:off x="10229850" y="4714875"/>
          <a:ext cx="147638" cy="781050"/>
        </a:xfrm>
        <a:prstGeom prst="straightConnector1">
          <a:avLst/>
        </a:prstGeom>
        <a:solidFill>
          <a:srgbClr val="0900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747713</xdr:colOff>
      <xdr:row>26</xdr:row>
      <xdr:rowOff>47625</xdr:rowOff>
    </xdr:from>
    <xdr:to>
      <xdr:col>16</xdr:col>
      <xdr:colOff>190500</xdr:colOff>
      <xdr:row>37</xdr:row>
      <xdr:rowOff>95250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8" idx="2"/>
        </xdr:cNvCxnSpPr>
      </xdr:nvCxnSpPr>
      <xdr:spPr bwMode="auto">
        <a:xfrm>
          <a:off x="10377488" y="4714875"/>
          <a:ext cx="223837" cy="2447925"/>
        </a:xfrm>
        <a:prstGeom prst="straightConnector1">
          <a:avLst/>
        </a:prstGeom>
        <a:solidFill>
          <a:srgbClr val="0900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304800</xdr:colOff>
      <xdr:row>19</xdr:row>
      <xdr:rowOff>152400</xdr:rowOff>
    </xdr:from>
    <xdr:to>
      <xdr:col>14</xdr:col>
      <xdr:colOff>57150</xdr:colOff>
      <xdr:row>22</xdr:row>
      <xdr:rowOff>95250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6791325" y="3667125"/>
          <a:ext cx="2133600" cy="43815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/>
            <a:t>Voir étude "éléments de prévision des ventes"</a:t>
          </a:r>
        </a:p>
      </xdr:txBody>
    </xdr:sp>
    <xdr:clientData/>
  </xdr:twoCellAnchor>
  <xdr:twoCellAnchor>
    <xdr:from>
      <xdr:col>8</xdr:col>
      <xdr:colOff>523876</xdr:colOff>
      <xdr:row>22</xdr:row>
      <xdr:rowOff>95250</xdr:rowOff>
    </xdr:from>
    <xdr:to>
      <xdr:col>11</xdr:col>
      <xdr:colOff>333375</xdr:colOff>
      <xdr:row>25</xdr:row>
      <xdr:rowOff>85725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 bwMode="auto">
        <a:xfrm flipH="1">
          <a:off x="5457826" y="4105275"/>
          <a:ext cx="1362074" cy="476250"/>
        </a:xfrm>
        <a:prstGeom prst="straightConnector1">
          <a:avLst/>
        </a:prstGeom>
        <a:solidFill>
          <a:srgbClr val="0900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161925</xdr:colOff>
      <xdr:row>19</xdr:row>
      <xdr:rowOff>152400</xdr:rowOff>
    </xdr:from>
    <xdr:to>
      <xdr:col>16</xdr:col>
      <xdr:colOff>742950</xdr:colOff>
      <xdr:row>22</xdr:row>
      <xdr:rowOff>95250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9029700" y="3667125"/>
          <a:ext cx="2124075" cy="438150"/>
        </a:xfrm>
        <a:prstGeom prst="rect">
          <a:avLst/>
        </a:prstGeom>
        <a:noFill/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200"/>
            <a:t>Voir "décisions" ou "fournisseurs</a:t>
          </a:r>
          <a:r>
            <a:rPr lang="fr-FR" sz="1200" baseline="0"/>
            <a:t> machines, tarifs"</a:t>
          </a:r>
          <a:endParaRPr lang="fr-FR" sz="1200"/>
        </a:p>
      </xdr:txBody>
    </xdr:sp>
    <xdr:clientData/>
  </xdr:twoCellAnchor>
  <xdr:twoCellAnchor>
    <xdr:from>
      <xdr:col>14</xdr:col>
      <xdr:colOff>704850</xdr:colOff>
      <xdr:row>17</xdr:row>
      <xdr:rowOff>57150</xdr:rowOff>
    </xdr:from>
    <xdr:to>
      <xdr:col>15</xdr:col>
      <xdr:colOff>85725</xdr:colOff>
      <xdr:row>19</xdr:row>
      <xdr:rowOff>152400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 bwMode="auto">
        <a:xfrm flipH="1" flipV="1">
          <a:off x="9572625" y="3219450"/>
          <a:ext cx="142875" cy="447675"/>
        </a:xfrm>
        <a:prstGeom prst="straightConnector1">
          <a:avLst/>
        </a:prstGeom>
        <a:solidFill>
          <a:srgbClr val="0900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47625</xdr:rowOff>
    </xdr:from>
    <xdr:to>
      <xdr:col>6</xdr:col>
      <xdr:colOff>552450</xdr:colOff>
      <xdr:row>27</xdr:row>
      <xdr:rowOff>133349</xdr:rowOff>
    </xdr:to>
    <xdr:graphicFrame macro="">
      <xdr:nvGraphicFramePr>
        <xdr:cNvPr id="6167" name="Graphique 5">
          <a:extLst>
            <a:ext uri="{FF2B5EF4-FFF2-40B4-BE49-F238E27FC236}">
              <a16:creationId xmlns:a16="http://schemas.microsoft.com/office/drawing/2014/main" id="{00000000-0008-0000-0200-000017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638175</xdr:colOff>
      <xdr:row>0</xdr:row>
      <xdr:rowOff>47625</xdr:rowOff>
    </xdr:from>
    <xdr:to>
      <xdr:col>15</xdr:col>
      <xdr:colOff>533400</xdr:colOff>
      <xdr:row>27</xdr:row>
      <xdr:rowOff>142875</xdr:rowOff>
    </xdr:to>
    <xdr:graphicFrame macro="">
      <xdr:nvGraphicFramePr>
        <xdr:cNvPr id="6168" name="Graphique 6">
          <a:extLst>
            <a:ext uri="{FF2B5EF4-FFF2-40B4-BE49-F238E27FC236}">
              <a16:creationId xmlns:a16="http://schemas.microsoft.com/office/drawing/2014/main" id="{00000000-0008-0000-0200-000018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104774</xdr:colOff>
      <xdr:row>3</xdr:row>
      <xdr:rowOff>9524</xdr:rowOff>
    </xdr:from>
    <xdr:to>
      <xdr:col>18</xdr:col>
      <xdr:colOff>323849</xdr:colOff>
      <xdr:row>13</xdr:row>
      <xdr:rowOff>123824</xdr:rowOff>
    </xdr:to>
    <xdr:graphicFrame macro="">
      <xdr:nvGraphicFramePr>
        <xdr:cNvPr id="5128" name="Graphique 2">
          <a:extLst>
            <a:ext uri="{FF2B5EF4-FFF2-40B4-BE49-F238E27FC236}">
              <a16:creationId xmlns:a16="http://schemas.microsoft.com/office/drawing/2014/main" id="{00000000-0008-0000-0300-000008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104775</xdr:colOff>
      <xdr:row>14</xdr:row>
      <xdr:rowOff>0</xdr:rowOff>
    </xdr:from>
    <xdr:to>
      <xdr:col>18</xdr:col>
      <xdr:colOff>333375</xdr:colOff>
      <xdr:row>28</xdr:row>
      <xdr:rowOff>9525</xdr:rowOff>
    </xdr:to>
    <xdr:graphicFrame macro="">
      <xdr:nvGraphicFramePr>
        <xdr:cNvPr id="5129" name="Graphique 3">
          <a:extLst>
            <a:ext uri="{FF2B5EF4-FFF2-40B4-BE49-F238E27FC236}">
              <a16:creationId xmlns:a16="http://schemas.microsoft.com/office/drawing/2014/main" id="{00000000-0008-0000-0300-000009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5</xdr:row>
      <xdr:rowOff>19050</xdr:rowOff>
    </xdr:from>
    <xdr:to>
      <xdr:col>8</xdr:col>
      <xdr:colOff>219075</xdr:colOff>
      <xdr:row>7</xdr:row>
      <xdr:rowOff>47625</xdr:rowOff>
    </xdr:to>
    <xdr:sp macro="" textlink="">
      <xdr:nvSpPr>
        <xdr:cNvPr id="2" name="Accolade fermant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6210300" y="1009650"/>
          <a:ext cx="133350" cy="409575"/>
        </a:xfrm>
        <a:prstGeom prst="rightBrace">
          <a:avLst/>
        </a:prstGeom>
        <a:noFill/>
        <a:ln w="222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P19"/>
  <sheetViews>
    <sheetView showGridLines="0" workbookViewId="0">
      <selection activeCell="B16" sqref="B16"/>
    </sheetView>
  </sheetViews>
  <sheetFormatPr baseColWidth="10" defaultRowHeight="12.5" x14ac:dyDescent="0.25"/>
  <cols>
    <col min="1" max="1" width="2.90625" customWidth="1"/>
    <col min="6" max="6" width="13.453125" customWidth="1"/>
  </cols>
  <sheetData>
    <row r="1" spans="1:16" ht="25" x14ac:dyDescent="0.25">
      <c r="A1" s="290" t="s">
        <v>108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</row>
    <row r="2" spans="1:16" ht="20" x14ac:dyDescent="0.4">
      <c r="A2" s="100" t="s">
        <v>58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6" ht="20" x14ac:dyDescent="0.4">
      <c r="A3" s="101"/>
      <c r="B3" s="101" t="s">
        <v>104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16" ht="20" x14ac:dyDescent="0.4">
      <c r="A4" s="101"/>
      <c r="B4" s="101" t="s">
        <v>59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</row>
    <row r="5" spans="1:16" ht="20" x14ac:dyDescent="0.4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6" ht="20.5" thickBot="1" x14ac:dyDescent="0.45">
      <c r="A6" s="100" t="s">
        <v>60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</row>
    <row r="7" spans="1:16" ht="20.5" thickBot="1" x14ac:dyDescent="0.45">
      <c r="A7" s="101"/>
      <c r="B7" s="101" t="s">
        <v>61</v>
      </c>
      <c r="C7" s="101"/>
      <c r="D7" s="101"/>
      <c r="E7" s="101"/>
      <c r="F7" s="101"/>
      <c r="G7" s="102"/>
      <c r="H7" s="103"/>
      <c r="I7" s="101" t="s">
        <v>67</v>
      </c>
      <c r="J7" s="101"/>
      <c r="K7" s="101"/>
      <c r="L7" s="101"/>
      <c r="M7" s="101"/>
      <c r="N7" s="101"/>
      <c r="O7" s="101"/>
    </row>
    <row r="8" spans="1:16" ht="20.5" thickBot="1" x14ac:dyDescent="0.45">
      <c r="A8" s="101"/>
      <c r="B8" s="101" t="s">
        <v>62</v>
      </c>
      <c r="C8" s="101"/>
      <c r="D8" s="101"/>
      <c r="E8" s="101"/>
      <c r="F8" s="101"/>
      <c r="G8" s="104"/>
      <c r="H8" s="101"/>
      <c r="I8" s="101" t="s">
        <v>79</v>
      </c>
      <c r="J8" s="101"/>
      <c r="L8" s="101"/>
      <c r="M8" s="107"/>
      <c r="N8" s="101"/>
      <c r="O8" s="101"/>
    </row>
    <row r="9" spans="1:16" ht="20.5" thickBot="1" x14ac:dyDescent="0.45">
      <c r="A9" s="101"/>
      <c r="B9" s="101" t="s">
        <v>63</v>
      </c>
      <c r="C9" s="101"/>
      <c r="D9" s="101"/>
      <c r="E9" s="101"/>
      <c r="F9" s="101"/>
      <c r="G9" s="105"/>
      <c r="H9" s="101"/>
      <c r="I9" s="101"/>
      <c r="J9" s="101"/>
      <c r="K9" s="101"/>
      <c r="L9" s="101"/>
      <c r="M9" s="101"/>
      <c r="N9" s="101"/>
      <c r="O9" s="101"/>
    </row>
    <row r="10" spans="1:16" ht="20" x14ac:dyDescent="0.4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1" spans="1:16" ht="20" x14ac:dyDescent="0.4">
      <c r="A11" s="100" t="s">
        <v>112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</row>
    <row r="12" spans="1:16" ht="20" x14ac:dyDescent="0.4">
      <c r="A12" s="101"/>
      <c r="B12" s="101" t="s">
        <v>113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1:16" ht="20" x14ac:dyDescent="0.4">
      <c r="A13" s="101"/>
      <c r="B13" s="101"/>
      <c r="C13" s="101" t="s">
        <v>114</v>
      </c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</row>
    <row r="14" spans="1:16" ht="20" x14ac:dyDescent="0.4">
      <c r="A14" s="101"/>
      <c r="B14" s="101"/>
      <c r="C14" s="101" t="s">
        <v>152</v>
      </c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1:16" ht="20" x14ac:dyDescent="0.4">
      <c r="A15" s="101"/>
      <c r="B15" s="101" t="s">
        <v>153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</row>
    <row r="16" spans="1:16" ht="20" x14ac:dyDescent="0.4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</row>
    <row r="17" spans="1:15" ht="20" x14ac:dyDescent="0.4">
      <c r="A17" s="100" t="s">
        <v>64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</row>
    <row r="18" spans="1:15" ht="20" x14ac:dyDescent="0.4">
      <c r="A18" s="101"/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1:15" ht="20" x14ac:dyDescent="0.4">
      <c r="A19" s="101"/>
      <c r="B19" s="101" t="s">
        <v>66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</row>
  </sheetData>
  <sheetProtection sheet="1" objects="1" scenarios="1"/>
  <mergeCells count="1">
    <mergeCell ref="A1:P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B1:W55"/>
  <sheetViews>
    <sheetView showGridLines="0" tabSelected="1" topLeftCell="A8" workbookViewId="0">
      <selection activeCell="J25" sqref="J25"/>
    </sheetView>
  </sheetViews>
  <sheetFormatPr baseColWidth="10" defaultRowHeight="13" x14ac:dyDescent="0.3"/>
  <cols>
    <col min="1" max="1" width="3" customWidth="1"/>
    <col min="2" max="2" width="3.453125" customWidth="1"/>
    <col min="3" max="3" width="9.453125" customWidth="1"/>
    <col min="6" max="6" width="12.453125" customWidth="1"/>
    <col min="9" max="10" width="9.36328125" bestFit="1" customWidth="1"/>
    <col min="11" max="11" width="4.6328125" customWidth="1"/>
    <col min="12" max="12" width="12.90625" style="39" customWidth="1"/>
    <col min="16" max="17" width="11.6328125" bestFit="1" customWidth="1"/>
  </cols>
  <sheetData>
    <row r="1" spans="2:23" ht="15.5" x14ac:dyDescent="0.35">
      <c r="B1" s="297" t="s">
        <v>139</v>
      </c>
      <c r="C1" s="297"/>
      <c r="D1" s="297"/>
      <c r="E1" s="297"/>
      <c r="F1" s="297"/>
      <c r="G1" s="297"/>
      <c r="H1" s="297"/>
      <c r="I1" s="297"/>
      <c r="J1" s="297"/>
      <c r="K1" s="297"/>
    </row>
    <row r="2" spans="2:23" ht="15" customHeight="1" x14ac:dyDescent="0.35">
      <c r="B2" s="53" t="s">
        <v>98</v>
      </c>
      <c r="D2" s="48"/>
      <c r="E2" s="48"/>
      <c r="F2" s="48"/>
      <c r="G2" s="48"/>
      <c r="H2" s="196"/>
      <c r="I2" s="122"/>
      <c r="J2" s="45" t="s">
        <v>99</v>
      </c>
      <c r="K2" s="48"/>
      <c r="L2" s="45"/>
      <c r="P2" s="48"/>
      <c r="Q2" s="200"/>
      <c r="R2" s="199"/>
      <c r="S2" s="193"/>
    </row>
    <row r="3" spans="2:23" ht="15" customHeight="1" x14ac:dyDescent="0.35">
      <c r="B3" s="53" t="s">
        <v>93</v>
      </c>
      <c r="D3" s="48"/>
      <c r="E3" s="48"/>
      <c r="F3" s="48"/>
      <c r="G3" s="48"/>
      <c r="H3" s="197"/>
      <c r="I3" s="122"/>
      <c r="J3" s="122" t="s">
        <v>105</v>
      </c>
      <c r="K3" s="48"/>
      <c r="P3" s="48"/>
      <c r="Q3" s="41"/>
      <c r="R3" s="41"/>
    </row>
    <row r="4" spans="2:23" ht="15.5" x14ac:dyDescent="0.35">
      <c r="B4" s="45" t="s">
        <v>94</v>
      </c>
      <c r="H4" s="196"/>
      <c r="I4" s="122"/>
      <c r="J4" s="122" t="s">
        <v>102</v>
      </c>
      <c r="P4" s="48"/>
      <c r="Q4" s="41"/>
      <c r="R4" s="41"/>
    </row>
    <row r="5" spans="2:23" ht="15.5" x14ac:dyDescent="0.35">
      <c r="B5" s="122" t="s">
        <v>138</v>
      </c>
      <c r="G5" s="159"/>
      <c r="H5" s="198"/>
      <c r="I5" s="122"/>
      <c r="J5" s="45"/>
      <c r="P5" s="48"/>
      <c r="Q5" s="41"/>
      <c r="R5" s="41"/>
    </row>
    <row r="6" spans="2:23" ht="15.5" x14ac:dyDescent="0.35">
      <c r="I6" s="122"/>
      <c r="P6" s="48"/>
      <c r="Q6" s="41"/>
      <c r="R6" s="41"/>
    </row>
    <row r="7" spans="2:23" ht="15.5" x14ac:dyDescent="0.35">
      <c r="B7" s="298" t="s">
        <v>106</v>
      </c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</row>
    <row r="8" spans="2:23" x14ac:dyDescent="0.3">
      <c r="C8" s="126" t="s">
        <v>146</v>
      </c>
      <c r="F8" s="54">
        <v>0</v>
      </c>
    </row>
    <row r="9" spans="2:23" ht="13.5" thickBot="1" x14ac:dyDescent="0.35">
      <c r="C9" s="126"/>
      <c r="F9" s="159"/>
    </row>
    <row r="10" spans="2:23" ht="19" thickTop="1" thickBot="1" x14ac:dyDescent="0.45">
      <c r="B10" s="300" t="s">
        <v>92</v>
      </c>
      <c r="C10" s="301"/>
      <c r="D10" s="301"/>
      <c r="E10" s="301"/>
      <c r="F10" s="301"/>
      <c r="G10" s="301"/>
      <c r="H10" s="301"/>
      <c r="I10" s="301"/>
      <c r="J10" s="302"/>
      <c r="L10" s="300" t="s">
        <v>101</v>
      </c>
      <c r="M10" s="326"/>
      <c r="N10" s="326"/>
      <c r="O10" s="326"/>
      <c r="P10" s="326"/>
      <c r="Q10" s="327"/>
    </row>
    <row r="11" spans="2:23" ht="13.5" thickTop="1" x14ac:dyDescent="0.3">
      <c r="B11" s="49"/>
      <c r="C11" s="50" t="s">
        <v>17</v>
      </c>
      <c r="D11" s="51"/>
      <c r="E11" s="51"/>
      <c r="F11" s="51"/>
      <c r="G11" s="52" t="s">
        <v>0</v>
      </c>
      <c r="H11" s="52" t="s">
        <v>1</v>
      </c>
      <c r="I11" s="86"/>
      <c r="J11" s="152"/>
      <c r="K11" s="142"/>
      <c r="L11" s="129" t="s">
        <v>131</v>
      </c>
      <c r="M11" s="135"/>
      <c r="N11" s="130"/>
      <c r="O11" s="130"/>
      <c r="P11" s="130"/>
      <c r="Q11" s="136"/>
      <c r="R11" s="39"/>
      <c r="S11" s="42"/>
      <c r="T11" s="42"/>
      <c r="U11" s="42"/>
      <c r="V11" s="132"/>
      <c r="W11" s="132"/>
    </row>
    <row r="12" spans="2:23" ht="13.5" thickBot="1" x14ac:dyDescent="0.35">
      <c r="B12" s="46"/>
      <c r="D12" s="126" t="s">
        <v>91</v>
      </c>
      <c r="G12" s="91">
        <v>5200</v>
      </c>
      <c r="H12" s="91">
        <v>2150</v>
      </c>
      <c r="I12" s="47"/>
      <c r="J12" s="153"/>
      <c r="K12" s="142"/>
      <c r="L12" s="55"/>
      <c r="M12" s="58" t="s">
        <v>26</v>
      </c>
      <c r="N12" s="109"/>
      <c r="O12" s="160">
        <v>5</v>
      </c>
      <c r="P12" s="81"/>
      <c r="Q12" s="83"/>
      <c r="R12" s="39"/>
      <c r="S12" s="42"/>
      <c r="T12" s="42"/>
      <c r="U12" s="42"/>
      <c r="V12" s="134"/>
      <c r="W12" s="42"/>
    </row>
    <row r="13" spans="2:23" ht="14" thickTop="1" thickBot="1" x14ac:dyDescent="0.35">
      <c r="B13" s="167"/>
      <c r="C13" s="168"/>
      <c r="D13" s="169"/>
      <c r="E13" s="168"/>
      <c r="F13" s="168"/>
      <c r="G13" s="170"/>
      <c r="H13" s="170"/>
      <c r="I13" s="171"/>
      <c r="J13" s="172"/>
      <c r="K13" s="142"/>
      <c r="L13" s="55"/>
      <c r="M13" s="58" t="s">
        <v>3</v>
      </c>
      <c r="N13" s="111"/>
      <c r="O13" s="160">
        <v>6</v>
      </c>
      <c r="P13" s="81"/>
      <c r="Q13" s="83"/>
      <c r="R13" s="39"/>
      <c r="S13" s="42"/>
      <c r="T13" s="42"/>
      <c r="U13" s="42"/>
      <c r="V13" s="134"/>
      <c r="W13" s="42"/>
    </row>
    <row r="14" spans="2:23" ht="13.5" thickTop="1" x14ac:dyDescent="0.3">
      <c r="B14" s="162"/>
      <c r="C14" s="163" t="s">
        <v>18</v>
      </c>
      <c r="D14" s="164"/>
      <c r="E14" s="164"/>
      <c r="F14" s="164"/>
      <c r="G14" s="165" t="s">
        <v>143</v>
      </c>
      <c r="H14" s="165" t="s">
        <v>144</v>
      </c>
      <c r="I14" s="165" t="s">
        <v>145</v>
      </c>
      <c r="J14" s="166"/>
      <c r="K14" s="142"/>
      <c r="L14" s="129" t="s">
        <v>25</v>
      </c>
      <c r="M14" s="135"/>
      <c r="N14" s="130" t="s">
        <v>32</v>
      </c>
      <c r="O14" s="130" t="s">
        <v>33</v>
      </c>
      <c r="P14" s="130" t="s">
        <v>52</v>
      </c>
      <c r="Q14" s="136" t="s">
        <v>53</v>
      </c>
      <c r="R14" s="39"/>
      <c r="S14" s="42"/>
      <c r="T14" s="42"/>
      <c r="U14" s="42"/>
      <c r="V14" s="134"/>
      <c r="W14" s="42"/>
    </row>
    <row r="15" spans="2:23" x14ac:dyDescent="0.3">
      <c r="B15" s="46"/>
      <c r="D15" t="s">
        <v>47</v>
      </c>
      <c r="G15" s="78">
        <v>0.2</v>
      </c>
      <c r="H15" s="78">
        <v>0.4</v>
      </c>
      <c r="I15" s="78">
        <v>1</v>
      </c>
      <c r="J15" s="140"/>
      <c r="K15" s="142"/>
      <c r="L15" s="55"/>
      <c r="M15" s="58" t="s">
        <v>26</v>
      </c>
      <c r="N15" s="245">
        <v>0</v>
      </c>
      <c r="O15" s="82">
        <v>100000</v>
      </c>
      <c r="P15" s="81">
        <f>N15*O15</f>
        <v>0</v>
      </c>
      <c r="Q15" s="85">
        <v>50</v>
      </c>
      <c r="R15" s="39"/>
      <c r="S15" s="42"/>
      <c r="T15" s="42"/>
      <c r="U15" s="42"/>
      <c r="V15" s="133"/>
      <c r="W15" s="133"/>
    </row>
    <row r="16" spans="2:23" ht="15" x14ac:dyDescent="0.3">
      <c r="B16" s="46"/>
      <c r="D16" t="s">
        <v>46</v>
      </c>
      <c r="G16" s="78">
        <v>0.1</v>
      </c>
      <c r="H16" s="78">
        <v>0.2</v>
      </c>
      <c r="I16" s="78">
        <v>0.5</v>
      </c>
      <c r="J16" s="140"/>
      <c r="K16" s="142"/>
      <c r="L16" s="55"/>
      <c r="M16" s="58" t="s">
        <v>3</v>
      </c>
      <c r="N16" s="245">
        <v>0</v>
      </c>
      <c r="O16" s="82">
        <v>100000</v>
      </c>
      <c r="P16" s="81">
        <f>N16*O16</f>
        <v>0</v>
      </c>
      <c r="Q16" s="85">
        <v>70</v>
      </c>
      <c r="R16" s="39"/>
      <c r="S16" s="42"/>
      <c r="T16" s="42"/>
      <c r="U16" s="42"/>
      <c r="V16" s="134"/>
      <c r="W16" s="134"/>
    </row>
    <row r="17" spans="2:23" x14ac:dyDescent="0.3">
      <c r="B17" s="46"/>
      <c r="D17" t="s">
        <v>48</v>
      </c>
      <c r="G17" s="78">
        <v>8</v>
      </c>
      <c r="H17" s="78">
        <v>12</v>
      </c>
      <c r="I17" s="78">
        <v>28</v>
      </c>
      <c r="J17" s="140"/>
      <c r="K17" s="142"/>
      <c r="L17" s="87" t="s">
        <v>27</v>
      </c>
      <c r="M17" s="89"/>
      <c r="N17" s="161" t="s">
        <v>32</v>
      </c>
      <c r="O17" s="88" t="s">
        <v>33</v>
      </c>
      <c r="P17" s="88" t="s">
        <v>54</v>
      </c>
      <c r="Q17" s="90"/>
      <c r="R17" s="39"/>
      <c r="S17" s="42"/>
      <c r="T17" s="42"/>
      <c r="U17" s="42"/>
      <c r="V17" s="134"/>
      <c r="W17" s="134"/>
    </row>
    <row r="18" spans="2:23" ht="13.5" thickBot="1" x14ac:dyDescent="0.35">
      <c r="B18" s="46"/>
      <c r="D18" t="s">
        <v>49</v>
      </c>
      <c r="G18" s="78">
        <v>10</v>
      </c>
      <c r="H18" s="78">
        <v>14</v>
      </c>
      <c r="I18" s="78">
        <v>28</v>
      </c>
      <c r="J18" s="140"/>
      <c r="K18" s="46"/>
      <c r="L18" s="55"/>
      <c r="M18" s="58" t="s">
        <v>26</v>
      </c>
      <c r="N18" s="245">
        <v>0</v>
      </c>
      <c r="O18" s="82">
        <v>25000</v>
      </c>
      <c r="P18" s="81">
        <f>N18*O18</f>
        <v>0</v>
      </c>
      <c r="Q18" s="83"/>
      <c r="R18" s="39"/>
      <c r="S18" s="42"/>
      <c r="T18" s="42"/>
      <c r="U18" s="42"/>
      <c r="V18" s="134"/>
      <c r="W18" s="134"/>
    </row>
    <row r="19" spans="2:23" ht="14" thickTop="1" thickBot="1" x14ac:dyDescent="0.35">
      <c r="B19" s="167"/>
      <c r="C19" s="168"/>
      <c r="D19" s="168"/>
      <c r="E19" s="168"/>
      <c r="F19" s="168"/>
      <c r="G19" s="174"/>
      <c r="H19" s="174"/>
      <c r="I19" s="174"/>
      <c r="J19" s="175"/>
      <c r="K19" s="46"/>
      <c r="L19" s="137"/>
      <c r="M19" s="138" t="s">
        <v>3</v>
      </c>
      <c r="N19" s="246">
        <v>0</v>
      </c>
      <c r="O19" s="139">
        <v>25000</v>
      </c>
      <c r="P19" s="111">
        <f>N19*O19</f>
        <v>0</v>
      </c>
      <c r="Q19" s="112"/>
      <c r="R19" s="39"/>
      <c r="S19" s="42"/>
      <c r="T19" s="42"/>
      <c r="U19" s="42"/>
      <c r="V19" s="134"/>
      <c r="W19" s="134"/>
    </row>
    <row r="20" spans="2:23" ht="13.5" thickTop="1" x14ac:dyDescent="0.3">
      <c r="B20" s="162"/>
      <c r="C20" s="163" t="s">
        <v>19</v>
      </c>
      <c r="D20" s="164"/>
      <c r="E20" s="164"/>
      <c r="F20" s="164"/>
      <c r="G20" s="165" t="s">
        <v>143</v>
      </c>
      <c r="H20" s="165" t="s">
        <v>144</v>
      </c>
      <c r="I20" s="165" t="s">
        <v>145</v>
      </c>
      <c r="J20" s="173" t="s">
        <v>107</v>
      </c>
      <c r="K20" s="46"/>
      <c r="R20" s="39"/>
      <c r="S20" s="42"/>
      <c r="T20" s="42"/>
      <c r="U20" s="42"/>
      <c r="V20" s="134"/>
      <c r="W20" s="134"/>
    </row>
    <row r="21" spans="2:23" x14ac:dyDescent="0.3">
      <c r="B21" s="46"/>
      <c r="D21" t="s">
        <v>56</v>
      </c>
      <c r="G21" s="106">
        <v>42</v>
      </c>
      <c r="H21" s="106">
        <v>35</v>
      </c>
      <c r="I21" s="106">
        <v>4</v>
      </c>
      <c r="J21" s="140"/>
      <c r="K21" s="46"/>
      <c r="R21" s="39"/>
      <c r="S21" s="42"/>
      <c r="T21" s="42"/>
      <c r="U21" s="42"/>
      <c r="V21" s="134"/>
      <c r="W21" s="134"/>
    </row>
    <row r="22" spans="2:23" x14ac:dyDescent="0.3">
      <c r="B22" s="46"/>
      <c r="D22" t="s">
        <v>20</v>
      </c>
      <c r="G22" s="92">
        <v>6000</v>
      </c>
      <c r="H22" s="92">
        <v>10000</v>
      </c>
      <c r="I22" s="92">
        <v>30000</v>
      </c>
      <c r="J22" s="140"/>
      <c r="K22" s="46"/>
      <c r="R22" s="39"/>
      <c r="S22" s="42"/>
      <c r="T22" s="42"/>
      <c r="U22" s="42"/>
      <c r="V22" s="42"/>
      <c r="W22" s="42"/>
    </row>
    <row r="23" spans="2:23" x14ac:dyDescent="0.3">
      <c r="B23" s="46"/>
      <c r="D23" t="s">
        <v>21</v>
      </c>
      <c r="G23" s="81"/>
      <c r="H23" s="81"/>
      <c r="I23" s="81"/>
      <c r="J23" s="141">
        <v>0.03</v>
      </c>
      <c r="K23" s="46"/>
    </row>
    <row r="24" spans="2:23" x14ac:dyDescent="0.3">
      <c r="B24" s="127"/>
      <c r="D24" t="s">
        <v>50</v>
      </c>
      <c r="G24" s="92">
        <v>1500</v>
      </c>
      <c r="H24" s="92">
        <v>1500</v>
      </c>
      <c r="I24" s="92">
        <v>5000</v>
      </c>
      <c r="J24" s="176">
        <v>20000</v>
      </c>
      <c r="K24" s="46"/>
    </row>
    <row r="25" spans="2:23" x14ac:dyDescent="0.3">
      <c r="B25" s="46"/>
      <c r="D25" s="126" t="s">
        <v>116</v>
      </c>
      <c r="G25" s="81"/>
      <c r="H25" s="81"/>
      <c r="I25" s="81"/>
      <c r="J25" s="177"/>
      <c r="K25" s="46"/>
      <c r="M25" s="42"/>
      <c r="N25" s="42"/>
      <c r="O25" s="42"/>
      <c r="P25" s="133"/>
      <c r="Q25" s="133"/>
    </row>
    <row r="26" spans="2:23" ht="13.5" thickBot="1" x14ac:dyDescent="0.35">
      <c r="B26" s="46"/>
      <c r="D26" s="126" t="s">
        <v>115</v>
      </c>
      <c r="G26" s="82">
        <v>0.7</v>
      </c>
      <c r="H26" s="82">
        <v>0.5</v>
      </c>
      <c r="I26" s="82">
        <v>0.4</v>
      </c>
      <c r="J26" s="179"/>
      <c r="K26" s="46"/>
      <c r="M26" s="42"/>
      <c r="N26" s="42"/>
      <c r="O26" s="42"/>
      <c r="P26" s="133"/>
      <c r="Q26" s="133"/>
    </row>
    <row r="27" spans="2:23" ht="14" thickTop="1" thickBot="1" x14ac:dyDescent="0.35">
      <c r="B27" s="167"/>
      <c r="C27" s="168"/>
      <c r="D27" s="180"/>
      <c r="E27" s="168"/>
      <c r="F27" s="168"/>
      <c r="G27" s="181"/>
      <c r="H27" s="181"/>
      <c r="I27" s="181"/>
      <c r="J27" s="182"/>
      <c r="K27" s="46"/>
      <c r="M27" s="42"/>
      <c r="N27" s="42"/>
      <c r="O27" s="42"/>
      <c r="P27" s="133"/>
      <c r="Q27" s="133"/>
    </row>
    <row r="28" spans="2:23" ht="13.5" customHeight="1" thickTop="1" x14ac:dyDescent="0.3">
      <c r="B28" s="183"/>
      <c r="C28" s="184" t="s">
        <v>97</v>
      </c>
      <c r="D28" s="185"/>
      <c r="E28" s="185"/>
      <c r="F28" s="186"/>
      <c r="G28" s="303" t="s">
        <v>117</v>
      </c>
      <c r="H28" s="304"/>
      <c r="I28" s="303" t="s">
        <v>117</v>
      </c>
      <c r="J28" s="316"/>
      <c r="K28" s="46"/>
      <c r="L28" s="321" t="s">
        <v>100</v>
      </c>
      <c r="M28" s="322"/>
      <c r="N28" s="322"/>
      <c r="O28" s="322"/>
      <c r="P28" s="322"/>
      <c r="Q28" s="323"/>
    </row>
    <row r="29" spans="2:23" ht="13.5" customHeight="1" thickBot="1" x14ac:dyDescent="0.3">
      <c r="B29" s="46"/>
      <c r="F29" s="190"/>
      <c r="G29" s="305" t="s">
        <v>95</v>
      </c>
      <c r="H29" s="306"/>
      <c r="I29" s="305" t="s">
        <v>96</v>
      </c>
      <c r="J29" s="311"/>
      <c r="K29" s="46"/>
      <c r="L29" s="324"/>
      <c r="M29" s="319"/>
      <c r="N29" s="319"/>
      <c r="O29" s="319"/>
      <c r="P29" s="319"/>
      <c r="Q29" s="325"/>
    </row>
    <row r="30" spans="2:23" ht="18" thickTop="1" x14ac:dyDescent="0.35">
      <c r="B30" s="191" t="s">
        <v>76</v>
      </c>
      <c r="C30" s="192"/>
      <c r="D30" s="192"/>
      <c r="E30" s="192"/>
      <c r="F30" s="192"/>
      <c r="G30" s="307"/>
      <c r="H30" s="308"/>
      <c r="I30" s="307"/>
      <c r="J30" s="317"/>
      <c r="L30" s="129" t="s">
        <v>24</v>
      </c>
      <c r="M30" s="144"/>
      <c r="N30" s="145"/>
      <c r="O30" s="146"/>
      <c r="P30" s="130"/>
      <c r="Q30" s="131"/>
    </row>
    <row r="31" spans="2:23" ht="18" x14ac:dyDescent="0.4">
      <c r="B31" s="113"/>
      <c r="C31" s="114" t="s">
        <v>158</v>
      </c>
      <c r="D31" s="115"/>
      <c r="E31" s="115"/>
      <c r="F31" s="115"/>
      <c r="G31" s="292">
        <v>10000</v>
      </c>
      <c r="H31" s="296"/>
      <c r="I31" s="294">
        <v>10000</v>
      </c>
      <c r="J31" s="309"/>
      <c r="L31" s="127" t="s">
        <v>86</v>
      </c>
      <c r="M31" s="328" t="s">
        <v>87</v>
      </c>
      <c r="N31" s="329"/>
      <c r="O31" s="330"/>
      <c r="P31" s="82">
        <v>2863989.77</v>
      </c>
      <c r="Q31" s="83"/>
    </row>
    <row r="32" spans="2:23" ht="18" x14ac:dyDescent="0.4">
      <c r="B32" s="113"/>
      <c r="C32" s="114" t="s">
        <v>69</v>
      </c>
      <c r="D32" s="115"/>
      <c r="E32" s="115"/>
      <c r="F32" s="115"/>
      <c r="G32" s="292">
        <v>12000</v>
      </c>
      <c r="H32" s="296"/>
      <c r="I32" s="294">
        <v>12000</v>
      </c>
      <c r="J32" s="309"/>
      <c r="L32" s="155" t="s">
        <v>55</v>
      </c>
      <c r="M32" s="331" t="s">
        <v>28</v>
      </c>
      <c r="N32" s="332"/>
      <c r="O32" s="333"/>
      <c r="P32" s="156">
        <v>0</v>
      </c>
      <c r="Q32" s="110"/>
    </row>
    <row r="33" spans="2:17" ht="18" x14ac:dyDescent="0.4">
      <c r="B33" s="113"/>
      <c r="C33" s="114" t="s">
        <v>73</v>
      </c>
      <c r="D33" s="115"/>
      <c r="E33" s="115"/>
      <c r="F33" s="115"/>
      <c r="G33" s="292">
        <v>8000</v>
      </c>
      <c r="H33" s="296"/>
      <c r="I33" s="294">
        <v>8000</v>
      </c>
      <c r="J33" s="309"/>
      <c r="L33" s="55"/>
      <c r="M33" s="334" t="s">
        <v>29</v>
      </c>
      <c r="N33" s="314"/>
      <c r="O33" s="335"/>
      <c r="P33" s="128">
        <v>0</v>
      </c>
      <c r="Q33" s="83"/>
    </row>
    <row r="34" spans="2:17" ht="18" x14ac:dyDescent="0.4">
      <c r="B34" s="113"/>
      <c r="C34" s="114" t="s">
        <v>74</v>
      </c>
      <c r="D34" s="115"/>
      <c r="E34" s="115"/>
      <c r="F34" s="115"/>
      <c r="G34" s="292">
        <v>500</v>
      </c>
      <c r="H34" s="296"/>
      <c r="I34" s="294">
        <v>500</v>
      </c>
      <c r="J34" s="309"/>
      <c r="K34" s="187"/>
      <c r="L34" s="55"/>
      <c r="M34" s="334" t="s">
        <v>30</v>
      </c>
      <c r="N34" s="314"/>
      <c r="O34" s="335"/>
      <c r="P34" s="128">
        <v>0</v>
      </c>
      <c r="Q34" s="83"/>
    </row>
    <row r="35" spans="2:17" ht="18.5" thickBot="1" x14ac:dyDescent="0.45">
      <c r="B35" s="113"/>
      <c r="C35" s="114" t="s">
        <v>155</v>
      </c>
      <c r="D35" s="115"/>
      <c r="E35" s="115"/>
      <c r="F35" s="115"/>
      <c r="G35" s="292">
        <v>25000</v>
      </c>
      <c r="H35" s="296"/>
      <c r="I35" s="294">
        <v>25000</v>
      </c>
      <c r="J35" s="309"/>
      <c r="L35" s="137"/>
      <c r="M35" s="318" t="s">
        <v>31</v>
      </c>
      <c r="N35" s="319"/>
      <c r="O35" s="320"/>
      <c r="P35" s="143">
        <v>0</v>
      </c>
      <c r="Q35" s="112"/>
    </row>
    <row r="36" spans="2:17" ht="19" thickTop="1" thickBot="1" x14ac:dyDescent="0.45">
      <c r="B36" s="113"/>
      <c r="C36" s="114" t="s">
        <v>156</v>
      </c>
      <c r="D36" s="115"/>
      <c r="E36" s="115"/>
      <c r="F36" s="115"/>
      <c r="G36" s="292">
        <v>0</v>
      </c>
      <c r="H36" s="296"/>
      <c r="I36" s="294">
        <v>0</v>
      </c>
      <c r="J36" s="309"/>
      <c r="M36" s="314"/>
      <c r="N36" s="314"/>
      <c r="O36" s="314"/>
      <c r="P36" s="123"/>
      <c r="Q36" s="123"/>
    </row>
    <row r="37" spans="2:17" ht="18.5" thickTop="1" x14ac:dyDescent="0.4">
      <c r="B37" s="113"/>
      <c r="C37" s="114" t="s">
        <v>157</v>
      </c>
      <c r="D37" s="115"/>
      <c r="E37" s="115"/>
      <c r="F37" s="115"/>
      <c r="G37" s="292">
        <v>500</v>
      </c>
      <c r="H37" s="296"/>
      <c r="I37" s="294">
        <v>0</v>
      </c>
      <c r="J37" s="309"/>
      <c r="K37" s="158"/>
      <c r="L37" s="129" t="s">
        <v>78</v>
      </c>
      <c r="M37" s="144"/>
      <c r="N37" s="147"/>
      <c r="O37" s="148"/>
      <c r="P37" s="130" t="s">
        <v>118</v>
      </c>
      <c r="Q37" s="136" t="s">
        <v>119</v>
      </c>
    </row>
    <row r="38" spans="2:17" ht="18" x14ac:dyDescent="0.4">
      <c r="B38" s="113"/>
      <c r="C38" s="114" t="s">
        <v>70</v>
      </c>
      <c r="D38" s="115"/>
      <c r="E38" s="115"/>
      <c r="F38" s="115"/>
      <c r="G38" s="292">
        <v>2700</v>
      </c>
      <c r="H38" s="293"/>
      <c r="I38" s="294">
        <v>2700</v>
      </c>
      <c r="J38" s="295"/>
      <c r="L38" s="55"/>
      <c r="M38" s="56" t="s">
        <v>132</v>
      </c>
      <c r="N38" s="42"/>
      <c r="O38" s="57"/>
      <c r="P38" s="77">
        <v>316068.15000000002</v>
      </c>
      <c r="Q38" s="77">
        <v>316068.15000000002</v>
      </c>
    </row>
    <row r="39" spans="2:17" ht="18" x14ac:dyDescent="0.4">
      <c r="B39" s="113"/>
      <c r="C39" s="114" t="s">
        <v>75</v>
      </c>
      <c r="D39" s="115"/>
      <c r="E39" s="115"/>
      <c r="F39" s="115"/>
      <c r="G39" s="292">
        <v>0</v>
      </c>
      <c r="H39" s="293"/>
      <c r="I39" s="294">
        <v>0</v>
      </c>
      <c r="J39" s="295"/>
      <c r="L39" s="55"/>
      <c r="M39" s="56" t="s">
        <v>133</v>
      </c>
      <c r="N39" s="42"/>
      <c r="O39" s="57"/>
      <c r="P39" s="77">
        <v>1087200</v>
      </c>
      <c r="Q39" s="77">
        <v>1087200</v>
      </c>
    </row>
    <row r="40" spans="2:17" ht="17.5" x14ac:dyDescent="0.35">
      <c r="B40" s="116" t="s">
        <v>71</v>
      </c>
      <c r="C40" s="114"/>
      <c r="D40" s="115"/>
      <c r="E40" s="115"/>
      <c r="F40" s="115"/>
      <c r="G40" s="292">
        <v>5629</v>
      </c>
      <c r="H40" s="296"/>
      <c r="I40" s="294">
        <v>5629</v>
      </c>
      <c r="J40" s="309"/>
      <c r="L40" s="55"/>
      <c r="M40" s="56" t="s">
        <v>135</v>
      </c>
      <c r="N40" s="42"/>
      <c r="O40" s="57"/>
      <c r="P40" s="77">
        <v>93357</v>
      </c>
      <c r="Q40" s="77">
        <v>93357</v>
      </c>
    </row>
    <row r="41" spans="2:17" ht="17.5" x14ac:dyDescent="0.35">
      <c r="B41" s="116" t="s">
        <v>148</v>
      </c>
      <c r="C41" s="114"/>
      <c r="D41" s="115"/>
      <c r="E41" s="115"/>
      <c r="F41" s="115"/>
      <c r="G41" s="292">
        <v>85400</v>
      </c>
      <c r="H41" s="296"/>
      <c r="I41" s="294">
        <v>85400</v>
      </c>
      <c r="J41" s="309"/>
      <c r="L41" s="55"/>
      <c r="M41" s="56" t="s">
        <v>134</v>
      </c>
      <c r="N41" s="42"/>
      <c r="O41" s="57"/>
      <c r="P41" s="77">
        <v>230418</v>
      </c>
      <c r="Q41" s="77">
        <v>230418</v>
      </c>
    </row>
    <row r="42" spans="2:17" ht="17.5" x14ac:dyDescent="0.35">
      <c r="B42" s="116" t="s">
        <v>149</v>
      </c>
      <c r="C42" s="114"/>
      <c r="D42" s="115"/>
      <c r="E42" s="115"/>
      <c r="F42" s="115"/>
      <c r="G42" s="292">
        <v>42700</v>
      </c>
      <c r="H42" s="296"/>
      <c r="I42" s="294">
        <v>42700</v>
      </c>
      <c r="J42" s="309"/>
      <c r="L42" s="55"/>
      <c r="M42" s="56" t="s">
        <v>136</v>
      </c>
      <c r="N42" s="42"/>
      <c r="O42" s="57"/>
      <c r="P42" s="77">
        <v>181200</v>
      </c>
      <c r="Q42" s="77">
        <v>181200</v>
      </c>
    </row>
    <row r="43" spans="2:17" ht="17.5" x14ac:dyDescent="0.35">
      <c r="B43" s="116" t="s">
        <v>72</v>
      </c>
      <c r="C43" s="114"/>
      <c r="D43" s="115"/>
      <c r="E43" s="115"/>
      <c r="F43" s="115"/>
      <c r="G43" s="292">
        <v>21250</v>
      </c>
      <c r="H43" s="296"/>
      <c r="I43" s="294">
        <v>21250</v>
      </c>
      <c r="J43" s="309"/>
      <c r="L43" s="55"/>
      <c r="M43" s="287" t="s">
        <v>150</v>
      </c>
      <c r="N43" s="42"/>
      <c r="O43" s="57"/>
      <c r="P43" s="77">
        <v>431930</v>
      </c>
      <c r="Q43" s="77">
        <v>431930</v>
      </c>
    </row>
    <row r="44" spans="2:17" ht="18" thickBot="1" x14ac:dyDescent="0.4">
      <c r="B44" s="116" t="s">
        <v>77</v>
      </c>
      <c r="C44" s="114"/>
      <c r="D44" s="115"/>
      <c r="E44" s="115"/>
      <c r="F44" s="115"/>
      <c r="G44" s="292">
        <v>5250</v>
      </c>
      <c r="H44" s="296"/>
      <c r="I44" s="294">
        <v>5250</v>
      </c>
      <c r="J44" s="309"/>
      <c r="L44" s="288"/>
      <c r="M44" s="287" t="s">
        <v>151</v>
      </c>
      <c r="N44" s="42"/>
      <c r="O44" s="57"/>
      <c r="P44" s="289">
        <v>0</v>
      </c>
      <c r="Q44" s="77">
        <v>0</v>
      </c>
    </row>
    <row r="45" spans="2:17" ht="18" thickBot="1" x14ac:dyDescent="0.4">
      <c r="B45" s="117" t="s">
        <v>109</v>
      </c>
      <c r="C45" s="114"/>
      <c r="D45" s="115"/>
      <c r="E45" s="115"/>
      <c r="F45" s="115"/>
      <c r="G45" s="188"/>
      <c r="H45" s="189"/>
      <c r="I45" s="310"/>
      <c r="J45" s="311"/>
      <c r="L45" s="195"/>
      <c r="M45" s="242"/>
      <c r="N45" s="194"/>
      <c r="O45" s="244" t="s">
        <v>103</v>
      </c>
      <c r="P45" s="243">
        <f>SUM(P38:P40)-SUM(P41:P44)</f>
        <v>653077.14999999991</v>
      </c>
      <c r="Q45" s="243">
        <f>SUM(Q38:Q40)-SUM(Q41:Q44)</f>
        <v>653077.14999999991</v>
      </c>
    </row>
    <row r="46" spans="2:17" ht="18.5" thickTop="1" thickBot="1" x14ac:dyDescent="0.4">
      <c r="B46" s="118"/>
      <c r="C46" s="119"/>
      <c r="D46" s="120"/>
      <c r="E46" s="121" t="s">
        <v>9</v>
      </c>
      <c r="F46" s="120"/>
      <c r="G46" s="312">
        <f>SUM(G31:G44)</f>
        <v>218929</v>
      </c>
      <c r="H46" s="315"/>
      <c r="I46" s="312">
        <f>SUM(I31:I44)</f>
        <v>218429</v>
      </c>
      <c r="J46" s="313"/>
      <c r="L46" s="149" t="s">
        <v>57</v>
      </c>
      <c r="M46" s="150" t="s">
        <v>137</v>
      </c>
      <c r="N46" s="151"/>
      <c r="O46" s="151"/>
      <c r="P46" s="151"/>
      <c r="Q46" s="154">
        <v>111233.19</v>
      </c>
    </row>
    <row r="47" spans="2:17" ht="18" thickTop="1" x14ac:dyDescent="0.35">
      <c r="B47" s="114"/>
      <c r="C47" s="114"/>
      <c r="D47" s="115"/>
      <c r="E47" s="123"/>
      <c r="F47" s="115"/>
      <c r="G47" s="124"/>
      <c r="H47" s="115"/>
      <c r="L47"/>
    </row>
    <row r="48" spans="2:17" ht="12.5" x14ac:dyDescent="0.25">
      <c r="L48"/>
    </row>
    <row r="49" spans="9:16" ht="12.5" x14ac:dyDescent="0.25">
      <c r="L49"/>
    </row>
    <row r="50" spans="9:16" ht="12.5" x14ac:dyDescent="0.25">
      <c r="L50"/>
    </row>
    <row r="51" spans="9:16" ht="12.5" x14ac:dyDescent="0.25">
      <c r="L51"/>
    </row>
    <row r="52" spans="9:16" ht="12.5" x14ac:dyDescent="0.25">
      <c r="L52"/>
    </row>
    <row r="53" spans="9:16" ht="18" x14ac:dyDescent="0.4">
      <c r="K53" s="125"/>
      <c r="L53"/>
    </row>
    <row r="54" spans="9:16" ht="12.5" x14ac:dyDescent="0.25">
      <c r="L54"/>
    </row>
    <row r="55" spans="9:16" ht="17.5" x14ac:dyDescent="0.35">
      <c r="I55" s="115"/>
      <c r="L55"/>
      <c r="O55" s="123"/>
      <c r="P55" s="124"/>
    </row>
  </sheetData>
  <sheetProtection sheet="1" objects="1" scenarios="1"/>
  <mergeCells count="48">
    <mergeCell ref="M34:O34"/>
    <mergeCell ref="L28:Q29"/>
    <mergeCell ref="L10:Q10"/>
    <mergeCell ref="M31:O31"/>
    <mergeCell ref="M32:O32"/>
    <mergeCell ref="M33:O33"/>
    <mergeCell ref="I45:J45"/>
    <mergeCell ref="I46:J46"/>
    <mergeCell ref="M36:O36"/>
    <mergeCell ref="G46:H46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40:J40"/>
    <mergeCell ref="I41:J41"/>
    <mergeCell ref="I43:J43"/>
    <mergeCell ref="I44:J44"/>
    <mergeCell ref="G40:H40"/>
    <mergeCell ref="G43:H43"/>
    <mergeCell ref="G44:H44"/>
    <mergeCell ref="G41:H41"/>
    <mergeCell ref="G42:H42"/>
    <mergeCell ref="B1:K1"/>
    <mergeCell ref="B7:Q7"/>
    <mergeCell ref="B10:J10"/>
    <mergeCell ref="G28:H28"/>
    <mergeCell ref="G29:H29"/>
    <mergeCell ref="G30:H30"/>
    <mergeCell ref="G31:H31"/>
    <mergeCell ref="G32:H32"/>
    <mergeCell ref="G33:H33"/>
    <mergeCell ref="G34:H34"/>
    <mergeCell ref="G35:H35"/>
    <mergeCell ref="G37:H37"/>
    <mergeCell ref="I42:J42"/>
    <mergeCell ref="M35:O35"/>
    <mergeCell ref="G38:H38"/>
    <mergeCell ref="G39:H39"/>
    <mergeCell ref="I38:J38"/>
    <mergeCell ref="I39:J39"/>
    <mergeCell ref="G36:H36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8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EBAB8"/>
    <pageSetUpPr fitToPage="1"/>
  </sheetPr>
  <dimension ref="A39:D53"/>
  <sheetViews>
    <sheetView showGridLines="0" workbookViewId="0">
      <selection activeCell="E32" sqref="E32"/>
    </sheetView>
  </sheetViews>
  <sheetFormatPr baseColWidth="10" defaultRowHeight="12.5" x14ac:dyDescent="0.25"/>
  <cols>
    <col min="1" max="1" width="17" customWidth="1"/>
  </cols>
  <sheetData>
    <row r="39" spans="1:4" x14ac:dyDescent="0.25">
      <c r="B39" s="41"/>
      <c r="C39" s="41"/>
      <c r="D39" s="41"/>
    </row>
    <row r="42" spans="1:4" x14ac:dyDescent="0.25">
      <c r="B42" s="41"/>
      <c r="C42" s="41"/>
    </row>
    <row r="46" spans="1:4" x14ac:dyDescent="0.25">
      <c r="B46" s="41"/>
      <c r="C46" s="41"/>
      <c r="D46" s="41"/>
    </row>
    <row r="47" spans="1:4" x14ac:dyDescent="0.25">
      <c r="A47" s="2"/>
    </row>
    <row r="48" spans="1:4" x14ac:dyDescent="0.25">
      <c r="A48" s="2"/>
    </row>
    <row r="49" spans="1:4" ht="17.25" customHeight="1" x14ac:dyDescent="0.25">
      <c r="A49" s="2"/>
    </row>
    <row r="50" spans="1:4" ht="7.5" customHeight="1" x14ac:dyDescent="0.25">
      <c r="B50" s="278" t="s">
        <v>143</v>
      </c>
      <c r="C50" s="278" t="s">
        <v>144</v>
      </c>
      <c r="D50" s="278" t="s">
        <v>145</v>
      </c>
    </row>
    <row r="51" spans="1:4" ht="7.5" customHeight="1" x14ac:dyDescent="0.25">
      <c r="A51" t="s">
        <v>23</v>
      </c>
      <c r="B51" s="132">
        <f>100*Marges!$E$17</f>
        <v>51.249999999999993</v>
      </c>
      <c r="C51" s="262">
        <f>100*Marges!$H$17</f>
        <v>49.6</v>
      </c>
      <c r="D51" s="132">
        <f>100*Marges!$K$17</f>
        <v>58.383333333333333</v>
      </c>
    </row>
    <row r="52" spans="1:4" ht="7.5" customHeight="1" x14ac:dyDescent="0.25">
      <c r="B52" s="278" t="s">
        <v>143</v>
      </c>
      <c r="C52" s="278" t="s">
        <v>144</v>
      </c>
      <c r="D52" s="278" t="s">
        <v>145</v>
      </c>
    </row>
    <row r="53" spans="1:4" ht="7.5" customHeight="1" x14ac:dyDescent="0.25">
      <c r="A53" t="s">
        <v>22</v>
      </c>
      <c r="B53" s="132">
        <f>Marges!$E$27/1000</f>
        <v>183.00000000000003</v>
      </c>
      <c r="C53" s="132">
        <f>Marges!$H$27/1000</f>
        <v>345.7</v>
      </c>
      <c r="D53" s="132">
        <f>Marges!$K$27/1000</f>
        <v>170.15</v>
      </c>
    </row>
  </sheetData>
  <sheetProtection sheet="1" objects="1" scenarios="1"/>
  <phoneticPr fontId="0" type="noConversion"/>
  <printOptions horizontalCentered="1" verticalCentered="1"/>
  <pageMargins left="0.78740157480314965" right="0.19685039370078741" top="0.98425196850393704" bottom="0.98425196850393704" header="0.51181102362204722" footer="0.51181102362204722"/>
  <pageSetup paperSize="9" scale="74" fitToHeight="3" orientation="landscape" horizontalDpi="4294967293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2:R32"/>
  <sheetViews>
    <sheetView showGridLines="0" workbookViewId="0">
      <selection activeCell="B25" sqref="B25"/>
    </sheetView>
  </sheetViews>
  <sheetFormatPr baseColWidth="10" defaultRowHeight="12.5" x14ac:dyDescent="0.25"/>
  <cols>
    <col min="1" max="1" width="1.90625" customWidth="1"/>
    <col min="2" max="2" width="24.453125" customWidth="1"/>
    <col min="3" max="3" width="7.6328125" style="1" customWidth="1"/>
    <col min="4" max="4" width="8.54296875" style="1" customWidth="1"/>
    <col min="5" max="5" width="9.6328125" style="1" customWidth="1"/>
    <col min="6" max="6" width="5.90625" style="1" customWidth="1"/>
    <col min="7" max="7" width="9.36328125" style="1" customWidth="1"/>
    <col min="8" max="8" width="9.6328125" style="1" customWidth="1"/>
    <col min="9" max="9" width="5.08984375" style="1" customWidth="1"/>
    <col min="10" max="10" width="9.54296875" style="1" customWidth="1"/>
    <col min="11" max="11" width="9.6328125" style="1" customWidth="1"/>
    <col min="12" max="12" width="11.6328125" style="1" customWidth="1"/>
    <col min="13" max="13" width="11.453125" style="2"/>
  </cols>
  <sheetData>
    <row r="2" spans="1:18" ht="18" x14ac:dyDescent="0.4">
      <c r="A2" s="1"/>
      <c r="B2" s="336" t="s">
        <v>120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</row>
    <row r="3" spans="1:18" ht="18.5" thickBot="1" x14ac:dyDescent="0.45">
      <c r="A3" s="1"/>
      <c r="B3" s="99" t="s">
        <v>51</v>
      </c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 ht="13.5" thickTop="1" thickBot="1" x14ac:dyDescent="0.3">
      <c r="A4" s="1"/>
      <c r="B4" s="4"/>
      <c r="C4" s="337" t="s">
        <v>143</v>
      </c>
      <c r="D4" s="338"/>
      <c r="E4" s="339"/>
      <c r="F4" s="337" t="s">
        <v>144</v>
      </c>
      <c r="G4" s="338"/>
      <c r="H4" s="339"/>
      <c r="I4" s="337" t="s">
        <v>145</v>
      </c>
      <c r="J4" s="338"/>
      <c r="K4" s="339"/>
      <c r="L4" s="108" t="s">
        <v>9</v>
      </c>
      <c r="M4" s="5"/>
      <c r="N4" s="6"/>
      <c r="O4" s="6"/>
      <c r="P4" s="6"/>
      <c r="Q4" s="6"/>
    </row>
    <row r="5" spans="1:18" ht="13" thickTop="1" x14ac:dyDescent="0.25">
      <c r="A5" s="1"/>
      <c r="B5" s="7" t="s">
        <v>4</v>
      </c>
      <c r="C5" s="8"/>
      <c r="D5" s="9"/>
      <c r="E5" s="94">
        <f>hypothèses!G22</f>
        <v>6000</v>
      </c>
      <c r="F5" s="8"/>
      <c r="G5" s="9"/>
      <c r="H5" s="94">
        <f>hypothèses!H22</f>
        <v>10000</v>
      </c>
      <c r="I5" s="8"/>
      <c r="J5" s="9"/>
      <c r="K5" s="94">
        <f>hypothèses!I22</f>
        <v>30000</v>
      </c>
      <c r="L5" s="10">
        <f>(E5*E20)+(H20*H5)+(K20*K5)</f>
        <v>1360000</v>
      </c>
      <c r="M5" s="5"/>
      <c r="N5" s="6"/>
      <c r="O5" s="6"/>
      <c r="P5" s="6"/>
      <c r="Q5" s="6"/>
    </row>
    <row r="6" spans="1:18" x14ac:dyDescent="0.25">
      <c r="A6" s="1"/>
      <c r="B6" s="7"/>
      <c r="C6" s="11"/>
      <c r="D6" s="12"/>
      <c r="E6" s="13"/>
      <c r="F6" s="11"/>
      <c r="G6" s="12"/>
      <c r="H6" s="13"/>
      <c r="I6" s="11"/>
      <c r="J6" s="12"/>
      <c r="K6" s="13"/>
      <c r="L6" s="14"/>
      <c r="M6" s="5"/>
      <c r="N6" s="6"/>
      <c r="O6" s="6"/>
      <c r="P6" s="6"/>
      <c r="Q6" s="6"/>
    </row>
    <row r="7" spans="1:18" x14ac:dyDescent="0.25">
      <c r="A7" s="1"/>
      <c r="B7" s="7" t="s">
        <v>13</v>
      </c>
      <c r="C7" s="11" t="s">
        <v>14</v>
      </c>
      <c r="D7" s="93">
        <f>hypothèses!J23</f>
        <v>0.03</v>
      </c>
      <c r="E7" s="13">
        <f>E5*$D$7</f>
        <v>180</v>
      </c>
      <c r="F7" s="11"/>
      <c r="G7" s="12"/>
      <c r="H7" s="13">
        <f>H5*$D$7</f>
        <v>300</v>
      </c>
      <c r="I7" s="11"/>
      <c r="J7" s="12"/>
      <c r="K7" s="13">
        <f>K5*$D$7</f>
        <v>900</v>
      </c>
      <c r="L7" s="14"/>
      <c r="M7" s="5"/>
      <c r="N7" s="6"/>
      <c r="O7" s="6"/>
      <c r="P7" s="6"/>
      <c r="Q7" s="6"/>
    </row>
    <row r="8" spans="1:18" x14ac:dyDescent="0.25">
      <c r="A8" s="1"/>
      <c r="B8" s="7" t="s">
        <v>5</v>
      </c>
      <c r="C8" s="11"/>
      <c r="D8" s="12"/>
      <c r="E8" s="13"/>
      <c r="F8" s="11"/>
      <c r="G8" s="12"/>
      <c r="H8" s="13"/>
      <c r="I8" s="11"/>
      <c r="J8" s="12"/>
      <c r="K8" s="13"/>
      <c r="L8" s="14"/>
      <c r="M8" s="5"/>
      <c r="N8" s="6"/>
      <c r="O8" s="6"/>
      <c r="P8" s="6"/>
      <c r="Q8" s="6"/>
    </row>
    <row r="9" spans="1:18" x14ac:dyDescent="0.25">
      <c r="A9" s="1"/>
      <c r="B9" s="15" t="s">
        <v>0</v>
      </c>
      <c r="C9" s="79">
        <f>hypothèses!G15</f>
        <v>0.2</v>
      </c>
      <c r="D9" s="178">
        <f>hypothèses!G12</f>
        <v>5200</v>
      </c>
      <c r="E9" s="13">
        <f>C9*D9</f>
        <v>1040</v>
      </c>
      <c r="F9" s="79">
        <f>hypothèses!H15</f>
        <v>0.4</v>
      </c>
      <c r="G9" s="178">
        <f>D9</f>
        <v>5200</v>
      </c>
      <c r="H9" s="13">
        <f>F9*G9</f>
        <v>2080</v>
      </c>
      <c r="I9" s="79">
        <f>hypothèses!I15</f>
        <v>1</v>
      </c>
      <c r="J9" s="178">
        <f>D9</f>
        <v>5200</v>
      </c>
      <c r="K9" s="13">
        <f>I9*J9</f>
        <v>5200</v>
      </c>
      <c r="L9" s="14"/>
      <c r="M9" s="5"/>
      <c r="N9" s="6"/>
      <c r="O9" s="6"/>
      <c r="P9" s="6"/>
      <c r="Q9" s="6"/>
    </row>
    <row r="10" spans="1:18" x14ac:dyDescent="0.25">
      <c r="A10" s="1"/>
      <c r="B10" s="15" t="s">
        <v>1</v>
      </c>
      <c r="C10" s="79">
        <f>hypothèses!G16</f>
        <v>0.1</v>
      </c>
      <c r="D10" s="178">
        <f>hypothèses!H12</f>
        <v>2150</v>
      </c>
      <c r="E10" s="13">
        <f>C10*D10</f>
        <v>215</v>
      </c>
      <c r="F10" s="79">
        <f>hypothèses!H16</f>
        <v>0.2</v>
      </c>
      <c r="G10" s="178">
        <f>D10</f>
        <v>2150</v>
      </c>
      <c r="H10" s="13">
        <f>F10*G10</f>
        <v>430</v>
      </c>
      <c r="I10" s="79">
        <f>hypothèses!I16</f>
        <v>0.5</v>
      </c>
      <c r="J10" s="178">
        <f>D10</f>
        <v>2150</v>
      </c>
      <c r="K10" s="13">
        <f>I10*J10</f>
        <v>1075</v>
      </c>
      <c r="L10" s="14"/>
      <c r="M10" s="5"/>
      <c r="N10" s="6"/>
      <c r="O10" s="6"/>
      <c r="P10" s="6"/>
      <c r="Q10" s="6"/>
      <c r="R10" s="126"/>
    </row>
    <row r="11" spans="1:18" x14ac:dyDescent="0.25">
      <c r="A11" s="1"/>
      <c r="B11" s="17" t="s">
        <v>6</v>
      </c>
      <c r="C11" s="16"/>
      <c r="D11" s="12"/>
      <c r="E11" s="13"/>
      <c r="F11" s="16"/>
      <c r="G11" s="12"/>
      <c r="H11" s="13"/>
      <c r="I11" s="16"/>
      <c r="J11" s="12"/>
      <c r="K11" s="13"/>
      <c r="L11" s="14"/>
      <c r="M11" s="5"/>
      <c r="N11" s="6"/>
      <c r="O11" s="6"/>
      <c r="P11" s="6"/>
      <c r="Q11" s="6"/>
      <c r="R11" s="126"/>
    </row>
    <row r="12" spans="1:18" x14ac:dyDescent="0.25">
      <c r="A12" s="1"/>
      <c r="B12" s="15" t="s">
        <v>2</v>
      </c>
      <c r="C12" s="79">
        <f>hypothèses!G17</f>
        <v>8</v>
      </c>
      <c r="D12" s="80">
        <f>hypothèses!Q15</f>
        <v>50</v>
      </c>
      <c r="E12" s="13">
        <f>C12*D12</f>
        <v>400</v>
      </c>
      <c r="F12" s="79">
        <f>hypothèses!H17</f>
        <v>12</v>
      </c>
      <c r="G12" s="80">
        <f>D12</f>
        <v>50</v>
      </c>
      <c r="H12" s="13">
        <f>F12*G12</f>
        <v>600</v>
      </c>
      <c r="I12" s="79">
        <f>hypothèses!I17</f>
        <v>28</v>
      </c>
      <c r="J12" s="80">
        <f>D12</f>
        <v>50</v>
      </c>
      <c r="K12" s="13">
        <f>I12*J12</f>
        <v>1400</v>
      </c>
      <c r="L12" s="14"/>
      <c r="M12" s="5"/>
      <c r="N12" s="6"/>
      <c r="O12" s="6"/>
      <c r="P12" s="6"/>
      <c r="Q12" s="6"/>
      <c r="R12" s="126"/>
    </row>
    <row r="13" spans="1:18" x14ac:dyDescent="0.25">
      <c r="A13" s="1"/>
      <c r="B13" s="15" t="s">
        <v>3</v>
      </c>
      <c r="C13" s="79">
        <f>hypothèses!G18</f>
        <v>10</v>
      </c>
      <c r="D13" s="80">
        <f>hypothèses!Q16</f>
        <v>70</v>
      </c>
      <c r="E13" s="13">
        <f>C13*D13</f>
        <v>700</v>
      </c>
      <c r="F13" s="79">
        <f>hypothèses!H18</f>
        <v>14</v>
      </c>
      <c r="G13" s="80">
        <f>D13</f>
        <v>70</v>
      </c>
      <c r="H13" s="13">
        <f>F13*G13</f>
        <v>980</v>
      </c>
      <c r="I13" s="79">
        <f>hypothèses!I18</f>
        <v>28</v>
      </c>
      <c r="J13" s="80">
        <f>D13</f>
        <v>70</v>
      </c>
      <c r="K13" s="13">
        <f>I13*J13</f>
        <v>1960</v>
      </c>
      <c r="L13" s="14"/>
      <c r="M13" s="5"/>
      <c r="N13" s="6"/>
      <c r="O13" s="6"/>
      <c r="P13" s="6"/>
      <c r="Q13" s="6"/>
      <c r="R13" s="126"/>
    </row>
    <row r="14" spans="1:18" ht="13" thickBot="1" x14ac:dyDescent="0.3">
      <c r="A14" s="1"/>
      <c r="B14" s="17" t="s">
        <v>147</v>
      </c>
      <c r="C14" s="280"/>
      <c r="D14" s="281">
        <v>6.5000000000000002E-2</v>
      </c>
      <c r="E14" s="282">
        <f>D14*E5</f>
        <v>390</v>
      </c>
      <c r="F14" s="16"/>
      <c r="G14" s="279">
        <v>6.5000000000000002E-2</v>
      </c>
      <c r="H14" s="13">
        <f>G14*H5</f>
        <v>650</v>
      </c>
      <c r="I14" s="16"/>
      <c r="J14" s="279">
        <v>6.5000000000000002E-2</v>
      </c>
      <c r="K14" s="13">
        <f>J14*K5</f>
        <v>1950</v>
      </c>
      <c r="L14" s="14"/>
      <c r="M14" s="5"/>
      <c r="N14" s="6"/>
      <c r="O14" s="6"/>
      <c r="P14" s="6"/>
      <c r="Q14" s="6"/>
      <c r="R14" s="126"/>
    </row>
    <row r="15" spans="1:18" ht="13" thickTop="1" x14ac:dyDescent="0.25">
      <c r="A15" s="1"/>
      <c r="B15" s="19" t="s">
        <v>7</v>
      </c>
      <c r="C15" s="20"/>
      <c r="D15" s="21"/>
      <c r="E15" s="21">
        <f>E5-SUM(E7:E14)</f>
        <v>3075</v>
      </c>
      <c r="F15" s="21"/>
      <c r="G15" s="21"/>
      <c r="H15" s="21">
        <f>H5-SUM(H7:H14)</f>
        <v>4960</v>
      </c>
      <c r="I15" s="21"/>
      <c r="J15" s="21"/>
      <c r="K15" s="21">
        <f>K5-SUM(K7:K14)</f>
        <v>17515</v>
      </c>
      <c r="L15" s="10">
        <f>E20*E15+H20*H15+K20*K15</f>
        <v>706850</v>
      </c>
      <c r="M15" s="5" t="s">
        <v>16</v>
      </c>
      <c r="N15" s="43">
        <f>+E17</f>
        <v>0.51249999999999996</v>
      </c>
      <c r="O15" s="43">
        <f>+H17</f>
        <v>0.496</v>
      </c>
      <c r="P15" s="43">
        <f>K17</f>
        <v>0.58383333333333332</v>
      </c>
      <c r="Q15" s="6"/>
      <c r="R15" s="126"/>
    </row>
    <row r="16" spans="1:18" x14ac:dyDescent="0.25">
      <c r="A16" s="1"/>
      <c r="B16" s="7"/>
      <c r="C16" s="23"/>
      <c r="D16" s="24"/>
      <c r="E16" s="24"/>
      <c r="F16" s="24"/>
      <c r="G16" s="24"/>
      <c r="H16" s="25"/>
      <c r="I16" s="25"/>
      <c r="J16" s="25"/>
      <c r="K16" s="25"/>
      <c r="L16" s="14"/>
      <c r="M16" s="5"/>
      <c r="N16" s="6"/>
      <c r="O16" s="6"/>
      <c r="P16" s="6"/>
      <c r="Q16" s="6"/>
      <c r="R16" s="126"/>
    </row>
    <row r="17" spans="1:18" ht="13" thickBot="1" x14ac:dyDescent="0.3">
      <c r="A17" s="1"/>
      <c r="B17" s="26" t="s">
        <v>8</v>
      </c>
      <c r="C17" s="27"/>
      <c r="D17" s="28"/>
      <c r="E17" s="283">
        <f>E15/E5</f>
        <v>0.51249999999999996</v>
      </c>
      <c r="F17" s="284"/>
      <c r="G17" s="284"/>
      <c r="H17" s="283">
        <f>H15/H5</f>
        <v>0.496</v>
      </c>
      <c r="I17" s="284"/>
      <c r="J17" s="284"/>
      <c r="K17" s="285">
        <f>K15/K5</f>
        <v>0.58383333333333332</v>
      </c>
      <c r="L17" s="286">
        <f>L15/L5</f>
        <v>0.51974264705882356</v>
      </c>
      <c r="M17" s="5"/>
      <c r="N17" s="6"/>
      <c r="O17" s="6"/>
      <c r="P17" s="6"/>
      <c r="Q17" s="6"/>
      <c r="R17" s="126"/>
    </row>
    <row r="18" spans="1:18" ht="13.5" thickTop="1" thickBot="1" x14ac:dyDescent="0.3">
      <c r="A18" s="1"/>
      <c r="B18" s="266"/>
      <c r="C18" s="267"/>
      <c r="D18" s="268" t="s">
        <v>122</v>
      </c>
      <c r="E18" s="269" t="s">
        <v>123</v>
      </c>
      <c r="F18" s="270"/>
      <c r="G18" s="268" t="s">
        <v>122</v>
      </c>
      <c r="H18" s="269" t="s">
        <v>123</v>
      </c>
      <c r="I18" s="270"/>
      <c r="J18" s="268" t="s">
        <v>122</v>
      </c>
      <c r="K18" s="269" t="s">
        <v>123</v>
      </c>
      <c r="L18" s="271"/>
      <c r="M18" s="5"/>
      <c r="N18" s="6"/>
      <c r="O18" s="6"/>
      <c r="P18" s="6"/>
      <c r="Q18" s="6"/>
      <c r="R18" s="126"/>
    </row>
    <row r="19" spans="1:18" ht="13" thickTop="1" x14ac:dyDescent="0.25">
      <c r="A19" s="1"/>
      <c r="B19" s="29"/>
      <c r="C19" s="263"/>
      <c r="D19" s="30"/>
      <c r="E19" s="31"/>
      <c r="F19" s="263"/>
      <c r="G19" s="30"/>
      <c r="H19" s="31"/>
      <c r="I19" s="263"/>
      <c r="J19" s="30"/>
      <c r="K19" s="31"/>
      <c r="L19" s="10"/>
      <c r="M19" s="5"/>
      <c r="N19" s="6"/>
      <c r="O19" s="6"/>
      <c r="P19" s="6"/>
      <c r="Q19" s="6"/>
      <c r="R19" s="126"/>
    </row>
    <row r="20" spans="1:18" x14ac:dyDescent="0.25">
      <c r="A20" s="1"/>
      <c r="B20" s="32" t="s">
        <v>121</v>
      </c>
      <c r="C20" s="264"/>
      <c r="D20" s="274">
        <f>hypothèses!G21</f>
        <v>42</v>
      </c>
      <c r="E20" s="95">
        <f>D20/hypothèses!G26</f>
        <v>60.000000000000007</v>
      </c>
      <c r="F20" s="265"/>
      <c r="G20" s="274">
        <f>hypothèses!H21</f>
        <v>35</v>
      </c>
      <c r="H20" s="95">
        <f>G20/hypothèses!H26</f>
        <v>70</v>
      </c>
      <c r="I20" s="265"/>
      <c r="J20" s="274">
        <f>hypothèses!I21</f>
        <v>4</v>
      </c>
      <c r="K20" s="95">
        <f>J20/hypothèses!I26</f>
        <v>10</v>
      </c>
      <c r="L20" s="14"/>
      <c r="M20" s="5"/>
      <c r="N20" s="6"/>
      <c r="O20" s="6"/>
      <c r="P20" s="6"/>
      <c r="Q20" s="6"/>
      <c r="R20" s="126"/>
    </row>
    <row r="21" spans="1:18" x14ac:dyDescent="0.25">
      <c r="A21" s="1"/>
      <c r="B21" s="32"/>
      <c r="C21" s="264"/>
      <c r="D21" s="33"/>
      <c r="E21" s="34"/>
      <c r="F21" s="264"/>
      <c r="G21" s="33"/>
      <c r="H21" s="34"/>
      <c r="I21" s="264"/>
      <c r="J21" s="33"/>
      <c r="K21" s="34"/>
      <c r="L21" s="14"/>
      <c r="M21" s="5"/>
      <c r="N21" s="6"/>
      <c r="O21" s="6"/>
      <c r="P21" s="6"/>
      <c r="Q21" s="6"/>
      <c r="R21" s="126"/>
    </row>
    <row r="22" spans="1:18" x14ac:dyDescent="0.25">
      <c r="A22" s="1"/>
      <c r="B22" s="32" t="s">
        <v>12</v>
      </c>
      <c r="C22" s="264"/>
      <c r="D22" s="33">
        <f>D20*E15</f>
        <v>129150</v>
      </c>
      <c r="E22" s="34">
        <f>E15*E20</f>
        <v>184500.00000000003</v>
      </c>
      <c r="F22" s="264"/>
      <c r="G22" s="33">
        <f>G20*H15</f>
        <v>173600</v>
      </c>
      <c r="H22" s="34">
        <f>H15*H20</f>
        <v>347200</v>
      </c>
      <c r="I22" s="264"/>
      <c r="J22" s="33">
        <f>J20*K15</f>
        <v>70060</v>
      </c>
      <c r="K22" s="34">
        <f>K15*K20</f>
        <v>175150</v>
      </c>
      <c r="L22" s="14"/>
      <c r="M22" s="5"/>
      <c r="N22" s="6"/>
      <c r="O22" s="6"/>
      <c r="P22" s="6"/>
      <c r="Q22" s="6"/>
    </row>
    <row r="23" spans="1:18" x14ac:dyDescent="0.25">
      <c r="A23" s="1"/>
      <c r="B23" s="32"/>
      <c r="C23" s="264"/>
      <c r="D23" s="33"/>
      <c r="E23" s="34"/>
      <c r="F23" s="264"/>
      <c r="G23" s="33"/>
      <c r="H23" s="34"/>
      <c r="I23" s="264"/>
      <c r="J23" s="33"/>
      <c r="K23" s="34"/>
      <c r="L23" s="14"/>
      <c r="M23" s="5"/>
      <c r="N23" s="6"/>
      <c r="O23" s="6"/>
      <c r="P23" s="6"/>
      <c r="Q23" s="6"/>
    </row>
    <row r="24" spans="1:18" x14ac:dyDescent="0.25">
      <c r="A24" s="1"/>
      <c r="B24" s="35" t="s">
        <v>154</v>
      </c>
      <c r="C24" s="264"/>
      <c r="D24" s="33"/>
      <c r="E24" s="34"/>
      <c r="F24" s="264"/>
      <c r="G24" s="33"/>
      <c r="H24" s="34"/>
      <c r="I24" s="264"/>
      <c r="J24" s="33"/>
      <c r="K24" s="34"/>
      <c r="L24" s="14"/>
      <c r="M24" s="5"/>
      <c r="N24" s="6"/>
      <c r="O24" s="6"/>
      <c r="P24" s="6"/>
      <c r="Q24" s="6"/>
    </row>
    <row r="25" spans="1:18" x14ac:dyDescent="0.25">
      <c r="A25" s="1"/>
      <c r="B25" s="36" t="s">
        <v>10</v>
      </c>
      <c r="C25" s="264"/>
      <c r="D25" s="273">
        <f>E25</f>
        <v>1500</v>
      </c>
      <c r="E25" s="96">
        <f>hypothèses!G24</f>
        <v>1500</v>
      </c>
      <c r="F25" s="264"/>
      <c r="G25" s="273">
        <f>H25</f>
        <v>1500</v>
      </c>
      <c r="H25" s="96">
        <f>hypothèses!H24</f>
        <v>1500</v>
      </c>
      <c r="I25" s="264"/>
      <c r="J25" s="273">
        <f>K25</f>
        <v>5000</v>
      </c>
      <c r="K25" s="96">
        <f>hypothèses!I24</f>
        <v>5000</v>
      </c>
      <c r="L25" s="14"/>
      <c r="M25" s="5"/>
      <c r="N25" s="6"/>
      <c r="O25" s="6"/>
      <c r="P25" s="6"/>
      <c r="Q25" s="6"/>
    </row>
    <row r="26" spans="1:18" ht="13" thickBot="1" x14ac:dyDescent="0.3">
      <c r="A26" s="1"/>
      <c r="B26" s="35"/>
      <c r="C26" s="264"/>
      <c r="D26" s="33"/>
      <c r="E26" s="34"/>
      <c r="F26" s="264"/>
      <c r="G26" s="33"/>
      <c r="H26" s="34"/>
      <c r="I26" s="264"/>
      <c r="J26" s="33"/>
      <c r="K26" s="34"/>
      <c r="L26" s="18"/>
      <c r="M26" s="5" t="s">
        <v>15</v>
      </c>
      <c r="N26" s="22">
        <f>E27</f>
        <v>183000.00000000003</v>
      </c>
      <c r="O26" s="22">
        <f>H27</f>
        <v>345700</v>
      </c>
      <c r="P26" s="22">
        <f>K27</f>
        <v>170150</v>
      </c>
      <c r="Q26" s="6"/>
    </row>
    <row r="27" spans="1:18" ht="13.5" thickTop="1" thickBot="1" x14ac:dyDescent="0.3">
      <c r="B27" s="276" t="s">
        <v>128</v>
      </c>
      <c r="C27" s="37"/>
      <c r="D27" s="38"/>
      <c r="E27" s="97">
        <f>E22-E25</f>
        <v>183000.00000000003</v>
      </c>
      <c r="F27" s="37"/>
      <c r="G27" s="38"/>
      <c r="H27" s="97">
        <f>H22-H25</f>
        <v>345700</v>
      </c>
      <c r="I27" s="37"/>
      <c r="J27" s="38"/>
      <c r="K27" s="97">
        <f>K22-K25</f>
        <v>170150</v>
      </c>
      <c r="L27" s="98">
        <f>E27+H27+K27</f>
        <v>698850</v>
      </c>
      <c r="M27" s="5"/>
      <c r="N27" s="6"/>
      <c r="O27" s="6"/>
      <c r="P27" s="6"/>
      <c r="Q27" s="6"/>
    </row>
    <row r="28" spans="1:18" ht="13.5" thickTop="1" thickBot="1" x14ac:dyDescent="0.3">
      <c r="B28" s="276" t="s">
        <v>127</v>
      </c>
      <c r="C28" s="275"/>
      <c r="D28" s="272">
        <f>D22-D25</f>
        <v>127650</v>
      </c>
      <c r="E28" s="277"/>
      <c r="F28" s="37"/>
      <c r="G28" s="272">
        <f>G22-G25</f>
        <v>172100</v>
      </c>
      <c r="H28" s="277"/>
      <c r="I28" s="37"/>
      <c r="J28" s="272">
        <f>J22-J25</f>
        <v>65060</v>
      </c>
      <c r="K28" s="277"/>
      <c r="L28" s="98">
        <f>SUM(C28:K28)</f>
        <v>364810</v>
      </c>
      <c r="M28" s="5"/>
      <c r="N28" s="6"/>
      <c r="O28" s="6"/>
      <c r="P28" s="6"/>
      <c r="Q28" s="6"/>
    </row>
    <row r="29" spans="1:18" ht="13.5" thickTop="1" x14ac:dyDescent="0.3">
      <c r="B29" s="39"/>
      <c r="L29" s="3"/>
      <c r="M29" s="5"/>
      <c r="N29" s="6"/>
      <c r="O29" s="6"/>
      <c r="P29" s="6"/>
      <c r="Q29" s="6"/>
    </row>
    <row r="30" spans="1:18" ht="13" x14ac:dyDescent="0.3">
      <c r="B30" s="39"/>
      <c r="L30" s="44"/>
      <c r="M30" s="5"/>
      <c r="N30" s="6"/>
      <c r="O30" s="6"/>
      <c r="P30" s="6"/>
      <c r="Q30" s="6"/>
    </row>
    <row r="31" spans="1:18" ht="13" x14ac:dyDescent="0.3">
      <c r="B31" s="39"/>
      <c r="L31" s="40"/>
    </row>
    <row r="32" spans="1:18" ht="13" x14ac:dyDescent="0.3">
      <c r="B32" s="39"/>
    </row>
  </sheetData>
  <sheetProtection sheet="1" objects="1" scenarios="1"/>
  <mergeCells count="4">
    <mergeCell ref="B2:L2"/>
    <mergeCell ref="C4:E4"/>
    <mergeCell ref="F4:H4"/>
    <mergeCell ref="I4:K4"/>
  </mergeCells>
  <phoneticPr fontId="0" type="noConversion"/>
  <pageMargins left="0.3" right="0.28999999999999998" top="0.984251969" bottom="0.984251969" header="0.4921259845" footer="0.4921259845"/>
  <pageSetup paperSize="9" scale="74" orientation="landscape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B1:R22"/>
  <sheetViews>
    <sheetView workbookViewId="0">
      <selection activeCell="H9" sqref="H9"/>
    </sheetView>
  </sheetViews>
  <sheetFormatPr baseColWidth="10" defaultRowHeight="12.5" x14ac:dyDescent="0.25"/>
  <cols>
    <col min="1" max="1" width="2.08984375" customWidth="1"/>
    <col min="4" max="4" width="13" customWidth="1"/>
    <col min="5" max="8" width="13.6328125" customWidth="1"/>
    <col min="9" max="9" width="1.54296875" customWidth="1"/>
    <col min="10" max="10" width="1.6328125" customWidth="1"/>
    <col min="13" max="13" width="11.36328125" customWidth="1"/>
    <col min="14" max="17" width="14" customWidth="1"/>
  </cols>
  <sheetData>
    <row r="1" spans="2:18" ht="18" x14ac:dyDescent="0.4">
      <c r="B1" s="114"/>
      <c r="C1" s="114"/>
      <c r="D1" s="115"/>
      <c r="E1" s="123"/>
      <c r="F1" s="115"/>
      <c r="G1" s="124"/>
      <c r="H1" s="115"/>
      <c r="I1" s="115"/>
      <c r="K1" s="125"/>
      <c r="O1" s="123"/>
      <c r="P1" s="124"/>
    </row>
    <row r="2" spans="2:18" ht="17.25" customHeight="1" thickBot="1" x14ac:dyDescent="0.45">
      <c r="B2" s="336" t="s">
        <v>125</v>
      </c>
      <c r="C2" s="342"/>
      <c r="D2" s="342"/>
      <c r="E2" s="299"/>
      <c r="F2" s="299"/>
      <c r="G2" s="299"/>
      <c r="H2" s="299"/>
      <c r="J2" s="336" t="s">
        <v>126</v>
      </c>
      <c r="K2" s="299"/>
      <c r="L2" s="299"/>
      <c r="M2" s="299"/>
      <c r="N2" s="299"/>
      <c r="O2" s="299"/>
      <c r="P2" s="299"/>
      <c r="Q2" s="299"/>
      <c r="R2" s="299"/>
    </row>
    <row r="3" spans="2:18" ht="15" thickTop="1" thickBot="1" x14ac:dyDescent="0.35">
      <c r="B3" s="201"/>
      <c r="C3" s="202"/>
      <c r="D3" s="203"/>
      <c r="E3" s="204" t="s">
        <v>143</v>
      </c>
      <c r="F3" s="205" t="s">
        <v>144</v>
      </c>
      <c r="G3" s="205" t="s">
        <v>145</v>
      </c>
      <c r="H3" s="206" t="s">
        <v>9</v>
      </c>
      <c r="I3" s="207"/>
      <c r="J3" s="208"/>
      <c r="K3" s="253"/>
      <c r="L3" s="254"/>
      <c r="M3" s="255"/>
      <c r="N3" s="204" t="s">
        <v>143</v>
      </c>
      <c r="O3" s="205" t="s">
        <v>144</v>
      </c>
      <c r="P3" s="205" t="s">
        <v>145</v>
      </c>
      <c r="Q3" s="206" t="s">
        <v>9</v>
      </c>
    </row>
    <row r="4" spans="2:18" ht="13.5" customHeight="1" thickTop="1" x14ac:dyDescent="0.3">
      <c r="B4" s="247"/>
      <c r="C4" s="211"/>
      <c r="D4" s="212"/>
      <c r="E4" s="256"/>
      <c r="F4" s="257"/>
      <c r="G4" s="257"/>
      <c r="H4" s="258"/>
      <c r="I4" s="207"/>
      <c r="J4" s="208"/>
      <c r="K4" s="259" t="s">
        <v>111</v>
      </c>
      <c r="L4" s="209"/>
      <c r="M4" s="210"/>
      <c r="N4" s="260">
        <f>hypothèses!G26</f>
        <v>0.7</v>
      </c>
      <c r="O4" s="261">
        <f>hypothèses!H26</f>
        <v>0.5</v>
      </c>
      <c r="P4" s="261">
        <f>hypothèses!I26</f>
        <v>0.4</v>
      </c>
      <c r="Q4" s="258"/>
    </row>
    <row r="5" spans="2:18" ht="13.5" customHeight="1" x14ac:dyDescent="0.3">
      <c r="B5" s="248" t="s">
        <v>68</v>
      </c>
      <c r="C5" s="249"/>
      <c r="D5" s="250"/>
      <c r="E5" s="217">
        <f>Marges!D22</f>
        <v>129150</v>
      </c>
      <c r="F5" s="218">
        <f>Marges!G22</f>
        <v>173600</v>
      </c>
      <c r="G5" s="218">
        <f>Marges!J22</f>
        <v>70060</v>
      </c>
      <c r="H5" s="219">
        <f>SUM(E5:G5)</f>
        <v>372810</v>
      </c>
      <c r="I5" s="207"/>
      <c r="J5" s="208"/>
      <c r="K5" s="248" t="s">
        <v>68</v>
      </c>
      <c r="L5" s="249"/>
      <c r="M5" s="250"/>
      <c r="N5" s="217">
        <f>E5/hypothèses!G26</f>
        <v>184500</v>
      </c>
      <c r="O5" s="218">
        <f>F5/hypothèses!H26</f>
        <v>347200</v>
      </c>
      <c r="P5" s="218">
        <f>G5/hypothèses!I26</f>
        <v>175150</v>
      </c>
      <c r="Q5" s="219">
        <f>SUM(N5:P5)</f>
        <v>706850</v>
      </c>
    </row>
    <row r="6" spans="2:18" ht="13.5" customHeight="1" x14ac:dyDescent="0.3">
      <c r="B6" s="251" t="s">
        <v>10</v>
      </c>
      <c r="C6" s="208"/>
      <c r="D6" s="213"/>
      <c r="E6" s="214">
        <f>Marges!E25</f>
        <v>1500</v>
      </c>
      <c r="F6" s="215">
        <f>Marges!H25</f>
        <v>1500</v>
      </c>
      <c r="G6" s="215">
        <f>Marges!K25</f>
        <v>5000</v>
      </c>
      <c r="H6" s="216">
        <f>SUM(E6:G6)</f>
        <v>8000</v>
      </c>
      <c r="I6" s="208"/>
      <c r="J6" s="208"/>
      <c r="K6" s="251" t="s">
        <v>10</v>
      </c>
      <c r="L6" s="208"/>
      <c r="M6" s="213"/>
      <c r="N6" s="214">
        <f>E6</f>
        <v>1500</v>
      </c>
      <c r="O6" s="215">
        <f>F6</f>
        <v>1500</v>
      </c>
      <c r="P6" s="215">
        <f>G6</f>
        <v>5000</v>
      </c>
      <c r="Q6" s="216">
        <f>H6</f>
        <v>8000</v>
      </c>
    </row>
    <row r="7" spans="2:18" ht="13.5" customHeight="1" x14ac:dyDescent="0.3">
      <c r="B7" s="251" t="s">
        <v>11</v>
      </c>
      <c r="C7" s="208"/>
      <c r="D7" s="213"/>
      <c r="E7" s="217">
        <f>E5-E6</f>
        <v>127650</v>
      </c>
      <c r="F7" s="218">
        <f>F5-F6</f>
        <v>172100</v>
      </c>
      <c r="G7" s="218">
        <f>G5-G6</f>
        <v>65060</v>
      </c>
      <c r="H7" s="219">
        <f>SUM(E7:G7)</f>
        <v>364810</v>
      </c>
      <c r="I7" s="220"/>
      <c r="J7" s="208"/>
      <c r="K7" s="251" t="s">
        <v>11</v>
      </c>
      <c r="L7" s="208"/>
      <c r="M7" s="213"/>
      <c r="N7" s="217">
        <f>N5-N6</f>
        <v>183000</v>
      </c>
      <c r="O7" s="218">
        <f>O5-O6</f>
        <v>345700</v>
      </c>
      <c r="P7" s="218">
        <f>P5-P6</f>
        <v>170150</v>
      </c>
      <c r="Q7" s="219">
        <f>Q5-Q6</f>
        <v>698850</v>
      </c>
    </row>
    <row r="8" spans="2:18" ht="13.5" customHeight="1" x14ac:dyDescent="0.3">
      <c r="B8" s="251"/>
      <c r="C8" s="208"/>
      <c r="D8" s="213"/>
      <c r="E8" s="221"/>
      <c r="F8" s="222"/>
      <c r="G8" s="222"/>
      <c r="H8" s="223"/>
      <c r="I8" s="208"/>
      <c r="J8" s="208"/>
      <c r="K8" s="251"/>
      <c r="L8" s="208"/>
      <c r="M8" s="213"/>
      <c r="N8" s="221"/>
      <c r="O8" s="222"/>
      <c r="P8" s="222"/>
      <c r="Q8" s="223"/>
    </row>
    <row r="9" spans="2:18" ht="13.5" customHeight="1" x14ac:dyDescent="0.3">
      <c r="B9" s="251" t="s">
        <v>110</v>
      </c>
      <c r="C9" s="208"/>
      <c r="D9" s="213"/>
      <c r="E9" s="224"/>
      <c r="F9" s="225"/>
      <c r="G9" s="226"/>
      <c r="H9" s="227">
        <f>hypothèses!G46</f>
        <v>218929</v>
      </c>
      <c r="I9" s="208"/>
      <c r="J9" s="208"/>
      <c r="K9" s="251" t="s">
        <v>110</v>
      </c>
      <c r="L9" s="208"/>
      <c r="M9" s="213"/>
      <c r="N9" s="224"/>
      <c r="O9" s="225"/>
      <c r="P9" s="226"/>
      <c r="Q9" s="227">
        <f>H9</f>
        <v>218929</v>
      </c>
    </row>
    <row r="10" spans="2:18" ht="13.5" customHeight="1" thickBot="1" x14ac:dyDescent="0.35">
      <c r="B10" s="251" t="s">
        <v>140</v>
      </c>
      <c r="C10" s="208"/>
      <c r="D10" s="213"/>
      <c r="E10" s="224"/>
      <c r="F10" s="225"/>
      <c r="G10" s="226"/>
      <c r="H10" s="216">
        <f>hypothèses!J24</f>
        <v>20000</v>
      </c>
      <c r="I10" s="208"/>
      <c r="J10" s="208"/>
      <c r="K10" s="251" t="s">
        <v>142</v>
      </c>
      <c r="L10" s="208"/>
      <c r="M10" s="213"/>
      <c r="N10" s="224"/>
      <c r="O10" s="225"/>
      <c r="P10" s="226"/>
      <c r="Q10" s="216">
        <f>H10</f>
        <v>20000</v>
      </c>
    </row>
    <row r="11" spans="2:18" ht="13.5" customHeight="1" thickBot="1" x14ac:dyDescent="0.35">
      <c r="B11" s="252" t="s">
        <v>35</v>
      </c>
      <c r="C11" s="228"/>
      <c r="D11" s="229"/>
      <c r="E11" s="230"/>
      <c r="F11" s="231"/>
      <c r="G11" s="232"/>
      <c r="H11" s="233">
        <f>H7-H9-H10</f>
        <v>125881</v>
      </c>
      <c r="I11" s="208"/>
      <c r="J11" s="208"/>
      <c r="K11" s="252" t="s">
        <v>141</v>
      </c>
      <c r="L11" s="228"/>
      <c r="M11" s="229"/>
      <c r="N11" s="230"/>
      <c r="O11" s="231"/>
      <c r="P11" s="232"/>
      <c r="Q11" s="233">
        <f>Q7-Q9-Q10</f>
        <v>459921</v>
      </c>
    </row>
    <row r="12" spans="2:18" ht="20.25" customHeight="1" thickTop="1" x14ac:dyDescent="0.3"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</row>
    <row r="13" spans="2:18" ht="13.5" customHeight="1" thickBot="1" x14ac:dyDescent="0.35">
      <c r="B13" s="340" t="s">
        <v>80</v>
      </c>
      <c r="C13" s="341"/>
      <c r="D13" s="341"/>
      <c r="E13" s="341"/>
      <c r="F13" s="341"/>
      <c r="G13" s="341"/>
      <c r="H13" s="341"/>
      <c r="I13" s="208"/>
      <c r="J13" s="208"/>
      <c r="K13" s="340" t="s">
        <v>84</v>
      </c>
      <c r="L13" s="341"/>
      <c r="M13" s="341"/>
      <c r="N13" s="341"/>
      <c r="O13" s="341"/>
      <c r="P13" s="341"/>
      <c r="Q13" s="341"/>
    </row>
    <row r="14" spans="2:18" ht="13.5" customHeight="1" thickTop="1" x14ac:dyDescent="0.3">
      <c r="B14" s="234"/>
      <c r="C14" s="209"/>
      <c r="D14" s="209"/>
      <c r="E14" s="209"/>
      <c r="F14" s="235" t="s">
        <v>35</v>
      </c>
      <c r="G14" s="236" t="s">
        <v>82</v>
      </c>
      <c r="H14" s="237" t="s">
        <v>83</v>
      </c>
      <c r="I14" s="208"/>
      <c r="J14" s="208"/>
      <c r="K14" s="234"/>
      <c r="L14" s="209"/>
      <c r="M14" s="209"/>
      <c r="N14" s="209"/>
      <c r="O14" s="235" t="s">
        <v>35</v>
      </c>
      <c r="P14" s="236" t="s">
        <v>85</v>
      </c>
      <c r="Q14" s="237" t="s">
        <v>83</v>
      </c>
    </row>
    <row r="15" spans="2:18" ht="13.5" customHeight="1" thickBot="1" x14ac:dyDescent="0.35">
      <c r="B15" s="238" t="s">
        <v>81</v>
      </c>
      <c r="C15" s="228"/>
      <c r="D15" s="228"/>
      <c r="E15" s="228"/>
      <c r="F15" s="239">
        <f>Q11</f>
        <v>459921</v>
      </c>
      <c r="G15" s="240">
        <f>Marges!L5</f>
        <v>1360000</v>
      </c>
      <c r="H15" s="241">
        <f>F15/G15</f>
        <v>0.33817720588235295</v>
      </c>
      <c r="I15" s="208"/>
      <c r="J15" s="208"/>
      <c r="K15" s="238" t="s">
        <v>81</v>
      </c>
      <c r="L15" s="228"/>
      <c r="M15" s="228"/>
      <c r="N15" s="228"/>
      <c r="O15" s="239">
        <f>Q11*12</f>
        <v>5519052</v>
      </c>
      <c r="P15" s="240">
        <f>hypothèses!P31</f>
        <v>2863989.77</v>
      </c>
      <c r="Q15" s="241">
        <f>O15/P15</f>
        <v>1.9270501793726729</v>
      </c>
    </row>
    <row r="16" spans="2:18" ht="13.5" customHeight="1" thickTop="1" x14ac:dyDescent="0.3"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</row>
    <row r="17" spans="2:17" ht="13.5" customHeight="1" x14ac:dyDescent="0.3"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</row>
    <row r="18" spans="2:17" ht="13.5" customHeight="1" x14ac:dyDescent="0.25"/>
    <row r="19" spans="2:17" ht="13.5" customHeight="1" x14ac:dyDescent="0.25"/>
    <row r="20" spans="2:17" ht="15" customHeight="1" x14ac:dyDescent="0.25"/>
    <row r="21" spans="2:17" ht="13.5" customHeight="1" x14ac:dyDescent="0.25"/>
    <row r="22" spans="2:17" ht="13.5" customHeight="1" x14ac:dyDescent="0.25"/>
  </sheetData>
  <sheetProtection sheet="1" objects="1" scenarios="1"/>
  <mergeCells count="4">
    <mergeCell ref="B13:H13"/>
    <mergeCell ref="K13:Q13"/>
    <mergeCell ref="B2:H2"/>
    <mergeCell ref="J2:R2"/>
  </mergeCells>
  <printOptions horizontalCentered="1" verticalCentered="1"/>
  <pageMargins left="0" right="0" top="0.74803149606299213" bottom="0.74803149606299213" header="0.31496062992125984" footer="0.31496062992125984"/>
  <pageSetup paperSize="9" scale="74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J24"/>
  <sheetViews>
    <sheetView showGridLines="0" workbookViewId="0">
      <selection activeCell="G7" sqref="G7"/>
    </sheetView>
  </sheetViews>
  <sheetFormatPr baseColWidth="10" defaultRowHeight="12.5" x14ac:dyDescent="0.25"/>
  <cols>
    <col min="1" max="1" width="19.54296875" customWidth="1"/>
    <col min="2" max="2" width="3.453125" customWidth="1"/>
    <col min="6" max="6" width="16.453125" customWidth="1"/>
    <col min="7" max="7" width="14.36328125" style="42" customWidth="1"/>
    <col min="8" max="8" width="3.90625" customWidth="1"/>
    <col min="9" max="9" width="4.08984375" customWidth="1"/>
  </cols>
  <sheetData>
    <row r="1" spans="1:10" s="59" customFormat="1" ht="15.5" x14ac:dyDescent="0.35">
      <c r="G1" s="60"/>
    </row>
    <row r="2" spans="1:10" s="59" customFormat="1" ht="15.5" x14ac:dyDescent="0.35">
      <c r="A2" s="84" t="s">
        <v>51</v>
      </c>
      <c r="C2" s="297" t="s">
        <v>124</v>
      </c>
      <c r="D2" s="297"/>
      <c r="E2" s="297"/>
      <c r="F2" s="297"/>
      <c r="G2" s="343"/>
    </row>
    <row r="3" spans="1:10" s="59" customFormat="1" ht="16" thickBot="1" x14ac:dyDescent="0.4">
      <c r="G3" s="60"/>
    </row>
    <row r="4" spans="1:10" s="59" customFormat="1" ht="16" thickTop="1" x14ac:dyDescent="0.35">
      <c r="B4" s="61"/>
      <c r="C4" s="62"/>
      <c r="D4" s="62"/>
      <c r="E4" s="62"/>
      <c r="F4" s="62"/>
      <c r="G4" s="63"/>
      <c r="H4" s="64"/>
    </row>
    <row r="5" spans="1:10" s="59" customFormat="1" ht="15.5" x14ac:dyDescent="0.35">
      <c r="B5" s="65"/>
      <c r="C5" s="66" t="s">
        <v>34</v>
      </c>
      <c r="G5" s="67"/>
      <c r="H5" s="68"/>
    </row>
    <row r="6" spans="1:10" s="59" customFormat="1" ht="15.5" x14ac:dyDescent="0.35">
      <c r="B6" s="65"/>
      <c r="E6" s="59" t="s">
        <v>35</v>
      </c>
      <c r="G6" s="69">
        <f>Résultat!H11</f>
        <v>125881</v>
      </c>
      <c r="H6" s="68"/>
      <c r="J6" s="59" t="s">
        <v>90</v>
      </c>
    </row>
    <row r="7" spans="1:10" s="59" customFormat="1" ht="15.5" x14ac:dyDescent="0.35">
      <c r="B7" s="65"/>
      <c r="E7" s="59" t="s">
        <v>36</v>
      </c>
      <c r="G7" s="69">
        <f>hypothèses!G43</f>
        <v>21250</v>
      </c>
      <c r="H7" s="68"/>
      <c r="I7" s="157"/>
    </row>
    <row r="8" spans="1:10" s="59" customFormat="1" ht="16" thickBot="1" x14ac:dyDescent="0.4">
      <c r="B8" s="65"/>
      <c r="E8" s="59" t="s">
        <v>37</v>
      </c>
      <c r="G8" s="69">
        <f>hypothèses!Q45-hypothèses!P45</f>
        <v>0</v>
      </c>
      <c r="H8" s="68"/>
      <c r="I8" s="126" t="s">
        <v>88</v>
      </c>
    </row>
    <row r="9" spans="1:10" s="59" customFormat="1" ht="15.5" x14ac:dyDescent="0.35">
      <c r="B9" s="65"/>
      <c r="E9" s="66" t="s">
        <v>38</v>
      </c>
      <c r="G9" s="70">
        <f>SUM(G6:G8)</f>
        <v>147131</v>
      </c>
      <c r="H9" s="68"/>
      <c r="I9" s="126" t="s">
        <v>89</v>
      </c>
    </row>
    <row r="10" spans="1:10" s="59" customFormat="1" ht="15.5" x14ac:dyDescent="0.35">
      <c r="B10" s="65"/>
      <c r="C10" s="66" t="s">
        <v>39</v>
      </c>
      <c r="G10" s="67"/>
      <c r="H10" s="68"/>
    </row>
    <row r="11" spans="1:10" s="59" customFormat="1" ht="15.5" x14ac:dyDescent="0.35">
      <c r="B11" s="65"/>
      <c r="E11" s="59" t="s">
        <v>25</v>
      </c>
      <c r="G11" s="69">
        <f>-(hypothèses!N15*hypothèses!O15+hypothèses!N16*hypothèses!O16)</f>
        <v>0</v>
      </c>
      <c r="H11" s="68"/>
    </row>
    <row r="12" spans="1:10" s="59" customFormat="1" ht="16" thickBot="1" x14ac:dyDescent="0.4">
      <c r="B12" s="65"/>
      <c r="E12" s="59" t="s">
        <v>27</v>
      </c>
      <c r="G12" s="69">
        <f>hypothèses!N18*hypothèses!O18+hypothèses!N19*hypothèses!O19</f>
        <v>0</v>
      </c>
      <c r="H12" s="68"/>
    </row>
    <row r="13" spans="1:10" s="59" customFormat="1" ht="15.5" x14ac:dyDescent="0.35">
      <c r="B13" s="65"/>
      <c r="E13" s="66" t="s">
        <v>43</v>
      </c>
      <c r="G13" s="70">
        <f>SUM(G11:G12)</f>
        <v>0</v>
      </c>
      <c r="H13" s="68"/>
    </row>
    <row r="14" spans="1:10" s="59" customFormat="1" ht="15.5" x14ac:dyDescent="0.35">
      <c r="B14" s="65"/>
      <c r="C14" s="66" t="s">
        <v>40</v>
      </c>
      <c r="G14" s="67"/>
      <c r="H14" s="68"/>
    </row>
    <row r="15" spans="1:10" s="59" customFormat="1" ht="15.5" x14ac:dyDescent="0.35">
      <c r="B15" s="65"/>
      <c r="E15" s="59" t="s">
        <v>41</v>
      </c>
      <c r="G15" s="69">
        <f>hypothèses!P32+hypothèses!P33</f>
        <v>0</v>
      </c>
      <c r="H15" s="68"/>
    </row>
    <row r="16" spans="1:10" s="59" customFormat="1" ht="16" thickBot="1" x14ac:dyDescent="0.4">
      <c r="B16" s="65"/>
      <c r="E16" s="59" t="s">
        <v>42</v>
      </c>
      <c r="G16" s="69">
        <f>-(hypothèses!P34+hypothèses!P35)</f>
        <v>0</v>
      </c>
      <c r="H16" s="68"/>
    </row>
    <row r="17" spans="2:8" s="59" customFormat="1" ht="15.5" x14ac:dyDescent="0.35">
      <c r="B17" s="65"/>
      <c r="E17" s="66" t="s">
        <v>44</v>
      </c>
      <c r="G17" s="70">
        <f>SUM(G15:G16)</f>
        <v>0</v>
      </c>
      <c r="H17" s="68"/>
    </row>
    <row r="18" spans="2:8" s="59" customFormat="1" ht="16" thickBot="1" x14ac:dyDescent="0.4">
      <c r="B18" s="65"/>
      <c r="G18" s="67"/>
      <c r="H18" s="68"/>
    </row>
    <row r="19" spans="2:8" s="59" customFormat="1" ht="15.5" x14ac:dyDescent="0.35">
      <c r="B19" s="65"/>
      <c r="C19" s="66" t="s">
        <v>45</v>
      </c>
      <c r="G19" s="71">
        <f>G9+G13+G17</f>
        <v>147131</v>
      </c>
      <c r="H19" s="68"/>
    </row>
    <row r="20" spans="2:8" s="59" customFormat="1" ht="15.5" x14ac:dyDescent="0.35">
      <c r="B20" s="65"/>
      <c r="G20" s="67"/>
      <c r="H20" s="68"/>
    </row>
    <row r="21" spans="2:8" s="59" customFormat="1" ht="16" thickBot="1" x14ac:dyDescent="0.4">
      <c r="B21" s="65"/>
      <c r="C21" s="59" t="s">
        <v>129</v>
      </c>
      <c r="G21" s="69">
        <f>hypothèses!Q46</f>
        <v>111233.19</v>
      </c>
      <c r="H21" s="68"/>
    </row>
    <row r="22" spans="2:8" s="59" customFormat="1" ht="15.5" x14ac:dyDescent="0.35">
      <c r="B22" s="65"/>
      <c r="C22" s="66" t="s">
        <v>130</v>
      </c>
      <c r="G22" s="71">
        <f>G21+G19</f>
        <v>258364.19</v>
      </c>
      <c r="H22" s="68"/>
    </row>
    <row r="23" spans="2:8" s="59" customFormat="1" ht="16" thickBot="1" x14ac:dyDescent="0.4">
      <c r="B23" s="72"/>
      <c r="C23" s="73"/>
      <c r="D23" s="73"/>
      <c r="E23" s="73"/>
      <c r="F23" s="73"/>
      <c r="G23" s="74"/>
      <c r="H23" s="75"/>
    </row>
    <row r="24" spans="2:8" s="59" customFormat="1" ht="16" thickTop="1" x14ac:dyDescent="0.35">
      <c r="G24" s="60"/>
    </row>
  </sheetData>
  <sheetProtection sheet="1" objects="1" scenarios="1"/>
  <mergeCells count="1">
    <mergeCell ref="C2:G2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Mode d'emploi</vt:lpstr>
      <vt:lpstr>hypothèses</vt:lpstr>
      <vt:lpstr>Synthèse des résultats</vt:lpstr>
      <vt:lpstr>Marges</vt:lpstr>
      <vt:lpstr>Résultat</vt:lpstr>
      <vt:lpstr>Flux trésorerie</vt:lpstr>
    </vt:vector>
  </TitlesOfParts>
  <Company>arkhe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gcasey</cp:lastModifiedBy>
  <cp:lastPrinted>2017-07-03T14:29:25Z</cp:lastPrinted>
  <dcterms:created xsi:type="dcterms:W3CDTF">2008-04-17T06:52:39Z</dcterms:created>
  <dcterms:modified xsi:type="dcterms:W3CDTF">2024-03-12T10:06:16Z</dcterms:modified>
</cp:coreProperties>
</file>